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worksheets/sheet3.xml" ContentType="application/vnd.openxmlformats-officedocument.spreadsheetml.worksheet+xml"/>
  <Override PartName="/xl/tables/table5.xml" ContentType="application/vnd.openxmlformats-officedocument.spreadsheetml.table+xml"/>
  <Override PartName="/xl/worksheets/sheet4.xml" ContentType="application/vnd.openxmlformats-officedocument.spreadsheetml.worksheet+xml"/>
  <Override PartName="/xl/tables/table6.xml" ContentType="application/vnd.openxmlformats-officedocument.spreadsheetml.table+xml"/>
  <Override PartName="/xl/worksheets/sheet5.xml" ContentType="application/vnd.openxmlformats-officedocument.spreadsheetml.worksheet+xml"/>
  <Override PartName="/xl/tables/table7.xml" ContentType="application/vnd.openxmlformats-officedocument.spreadsheetml.table+xml"/>
  <Override PartName="/xl/worksheets/sheet6.xml" ContentType="application/vnd.openxmlformats-officedocument.spreadsheetml.worksheet+xml"/>
  <Override PartName="/xl/drawings/drawing1.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worksheets/sheet7.xml" ContentType="application/vnd.openxmlformats-officedocument.spreadsheetml.worksheet+xml"/>
  <Override PartName="/xl/tables/table11.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 Cover" sheetId="1" state="visible" r:id="rId1"/>
    <sheet xmlns:r="http://schemas.openxmlformats.org/officeDocument/2006/relationships" name="02 Legends" sheetId="2" state="visible" r:id="rId2"/>
    <sheet xmlns:r="http://schemas.openxmlformats.org/officeDocument/2006/relationships" name="03 Gap Register" sheetId="3" state="visible" r:id="rId3"/>
    <sheet xmlns:r="http://schemas.openxmlformats.org/officeDocument/2006/relationships" name="04 Requirements Matrix" sheetId="4" state="visible" r:id="rId4"/>
    <sheet xmlns:r="http://schemas.openxmlformats.org/officeDocument/2006/relationships" name="05 Project-use Controls" sheetId="5" state="visible" r:id="rId5"/>
    <sheet xmlns:r="http://schemas.openxmlformats.org/officeDocument/2006/relationships" name="06 Coverage Summary" sheetId="6" state="visible" r:id="rId6"/>
    <sheet xmlns:r="http://schemas.openxmlformats.org/officeDocument/2006/relationships" name="07 Unresolved Source" sheetId="7" state="visible" r:id="rId7"/>
  </sheets>
  <definedNames>
    <definedName name="_xlnm.Print_Titles" localSheetId="0">'01 Cover'!$1:$2</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1B365D"/>
      <sz val="16"/>
    </font>
    <font>
      <name val="Calibri"/>
      <b val="1"/>
      <color rgb="00FFFFFF"/>
      <sz val="10"/>
    </font>
    <font>
      <name val="Calibri"/>
      <b val="1"/>
      <color rgb="001B365D"/>
      <sz val="10"/>
    </font>
    <font>
      <name val="Calibri"/>
      <color rgb="00222222"/>
      <sz val="10"/>
    </font>
    <font>
      <name val="Calibri"/>
      <b val="1"/>
      <color rgb="001B365D"/>
      <sz val="12"/>
    </font>
    <font>
      <name val="Calibri"/>
      <b val="1"/>
      <color rgb="00006100"/>
      <sz val="10"/>
    </font>
    <font>
      <name val="Calibri"/>
      <b val="1"/>
      <color rgb="007F6000"/>
      <sz val="10"/>
    </font>
    <font>
      <name val="Calibri"/>
      <b val="1"/>
      <color rgb="00595959"/>
      <sz val="10"/>
    </font>
    <font>
      <name val="Calibri"/>
      <b val="1"/>
      <color rgb="001F4E79"/>
      <sz val="10"/>
    </font>
    <font>
      <name val="Calibri"/>
      <b val="1"/>
      <color rgb="00C65911"/>
      <sz val="10"/>
    </font>
  </fonts>
  <fills count="12">
    <fill>
      <patternFill/>
    </fill>
    <fill>
      <patternFill patternType="gray125"/>
    </fill>
    <fill>
      <patternFill patternType="solid">
        <fgColor rgb="007B2D26"/>
      </patternFill>
    </fill>
    <fill>
      <patternFill patternType="solid">
        <fgColor rgb="001B365D"/>
      </patternFill>
    </fill>
    <fill>
      <patternFill patternType="solid">
        <fgColor rgb="00F4F6F8"/>
      </patternFill>
    </fill>
    <fill>
      <patternFill patternType="solid">
        <fgColor rgb="00EEF2F6"/>
      </patternFill>
    </fill>
    <fill>
      <patternFill patternType="solid">
        <fgColor rgb="00FFFFFF"/>
      </patternFill>
    </fill>
    <fill>
      <patternFill patternType="solid">
        <fgColor rgb="00C6EFCE"/>
      </patternFill>
    </fill>
    <fill>
      <patternFill patternType="solid">
        <fgColor rgb="00FFF2CC"/>
      </patternFill>
    </fill>
    <fill>
      <patternFill patternType="solid">
        <fgColor rgb="00E7E6E6"/>
      </patternFill>
    </fill>
    <fill>
      <patternFill patternType="solid">
        <fgColor rgb="00DDEBF7"/>
      </patternFill>
    </fill>
    <fill>
      <patternFill patternType="solid">
        <fgColor rgb="00FCE4D6"/>
      </patternFill>
    </fill>
  </fills>
  <borders count="2">
    <border>
      <left/>
      <right/>
      <top/>
      <bottom/>
      <diagonal/>
    </border>
    <border>
      <left style="thin">
        <color rgb="00C5CDD6"/>
      </left>
      <right style="thin">
        <color rgb="00C5CDD6"/>
      </right>
      <top style="thin">
        <color rgb="00C5CDD6"/>
      </top>
      <bottom style="thin">
        <color rgb="00C5CDD6"/>
      </bottom>
    </border>
  </borders>
  <cellStyleXfs count="1">
    <xf numFmtId="0" fontId="0" fillId="0" borderId="0"/>
  </cellStyleXfs>
  <cellXfs count="27">
    <xf numFmtId="0" fontId="0" fillId="0" borderId="0" pivotButton="0" quotePrefix="0" xfId="0"/>
    <xf numFmtId="0" fontId="1" fillId="0" borderId="0" applyAlignment="1" pivotButton="0" quotePrefix="0" xfId="0">
      <alignment vertical="center" wrapText="1"/>
    </xf>
    <xf numFmtId="0" fontId="2" fillId="2" borderId="0" applyAlignment="1" pivotButton="0" quotePrefix="0" xfId="0">
      <alignment vertical="center" wrapText="1"/>
    </xf>
    <xf numFmtId="0" fontId="2" fillId="3" borderId="1" applyAlignment="1" pivotButton="0" quotePrefix="0" xfId="0">
      <alignment horizontal="center" vertical="center" wrapText="1"/>
    </xf>
    <xf numFmtId="0" fontId="3" fillId="4" borderId="1" applyAlignment="1" pivotButton="0" quotePrefix="0" xfId="0">
      <alignment horizontal="left" vertical="center" wrapText="1"/>
    </xf>
    <xf numFmtId="0" fontId="4" fillId="0" borderId="1" applyAlignment="1" pivotButton="0" quotePrefix="0" xfId="0">
      <alignment vertical="top" wrapText="1"/>
    </xf>
    <xf numFmtId="0" fontId="5" fillId="0" borderId="0" pivotButton="0" quotePrefix="0" xfId="0"/>
    <xf numFmtId="0" fontId="3" fillId="0"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5" borderId="1" applyAlignment="1" pivotButton="0" quotePrefix="0" xfId="0">
      <alignment vertical="top" wrapText="1"/>
    </xf>
    <xf numFmtId="0" fontId="1" fillId="0" borderId="0" pivotButton="0" quotePrefix="0" xfId="0"/>
    <xf numFmtId="0" fontId="6" fillId="7" borderId="1" applyAlignment="1" pivotButton="0" quotePrefix="0" xfId="0">
      <alignment horizontal="center" vertical="center" wrapText="1"/>
    </xf>
    <xf numFmtId="0" fontId="4" fillId="6" borderId="1" applyAlignment="1" pivotButton="0" quotePrefix="0" xfId="0">
      <alignment vertical="top" wrapText="1"/>
    </xf>
    <xf numFmtId="0" fontId="7" fillId="8" borderId="1" applyAlignment="1" pivotButton="0" quotePrefix="0" xfId="0">
      <alignment horizontal="center" vertical="center" wrapText="1"/>
    </xf>
    <xf numFmtId="0" fontId="8" fillId="9" borderId="1" applyAlignment="1" pivotButton="0" quotePrefix="0" xfId="0">
      <alignment horizontal="center" vertical="center" wrapText="1"/>
    </xf>
    <xf numFmtId="0" fontId="9" fillId="10" borderId="1" applyAlignment="1" pivotButton="0" quotePrefix="0" xfId="0">
      <alignment horizontal="center" vertical="center" wrapText="1"/>
    </xf>
    <xf numFmtId="0" fontId="10" fillId="11" borderId="1" applyAlignment="1" pivotButton="0" quotePrefix="0" xfId="0">
      <alignment horizontal="center" vertical="center" wrapText="1"/>
    </xf>
    <xf numFmtId="0" fontId="4" fillId="0" borderId="0" applyAlignment="1" pivotButton="0" quotePrefix="0" xfId="0">
      <alignment vertical="top" wrapText="1"/>
    </xf>
    <xf numFmtId="0" fontId="3" fillId="0" borderId="1" pivotButton="0" quotePrefix="0" xfId="0"/>
    <xf numFmtId="0" fontId="4" fillId="0" borderId="1" pivotButton="0" quotePrefix="0" xfId="0"/>
    <xf numFmtId="0" fontId="4" fillId="0" borderId="1" applyAlignment="1" pivotButton="0" quotePrefix="0" xfId="0">
      <alignment horizontal="center" vertical="center"/>
    </xf>
    <xf numFmtId="0" fontId="3" fillId="7" borderId="1" pivotButton="0" quotePrefix="0" xfId="0"/>
    <xf numFmtId="0" fontId="4" fillId="7" borderId="1" applyAlignment="1" pivotButton="0" quotePrefix="0" xfId="0">
      <alignment horizontal="center" vertical="center"/>
    </xf>
    <xf numFmtId="0" fontId="3" fillId="11" borderId="1" pivotButton="0" quotePrefix="0" xfId="0"/>
    <xf numFmtId="0" fontId="4" fillId="11" borderId="1" applyAlignment="1" pivotButton="0" quotePrefix="0" xfId="0">
      <alignment horizontal="center" vertical="center"/>
    </xf>
    <xf numFmtId="1" fontId="4" fillId="6" borderId="1" applyAlignment="1" pivotButton="0" quotePrefix="0" xfId="0">
      <alignment vertical="top" wrapText="1"/>
    </xf>
    <xf numFmtId="1" fontId="4" fillId="5" borderId="1" applyAlignment="1" pivotButton="0" quotePrefix="0" xfId="0">
      <alignment vertical="top" wrapText="1"/>
    </xf>
  </cellXfs>
  <cellStyles count="1">
    <cellStyle name="Normal" xfId="0" builtinId="0" hidden="0"/>
  </cellStyles>
  <dxfs count="5">
    <dxf>
      <font>
        <name val="Calibri"/>
        <b val="1"/>
        <color rgb="00006100"/>
        <sz val="10"/>
      </font>
      <fill>
        <patternFill patternType="solid">
          <fgColor rgb="00C6EFCE"/>
        </patternFill>
      </fill>
    </dxf>
    <dxf>
      <font>
        <name val="Calibri"/>
        <b val="1"/>
        <color rgb="007F6000"/>
        <sz val="10"/>
      </font>
      <fill>
        <patternFill patternType="solid">
          <fgColor rgb="00FFF2CC"/>
        </patternFill>
      </fill>
    </dxf>
    <dxf>
      <font>
        <name val="Calibri"/>
        <b val="1"/>
        <color rgb="001F4E79"/>
        <sz val="10"/>
      </font>
      <fill>
        <patternFill patternType="solid">
          <fgColor rgb="00DDEBF7"/>
        </patternFill>
      </fill>
    </dxf>
    <dxf>
      <font>
        <name val="Calibri"/>
        <b val="1"/>
        <color rgb="00595959"/>
        <sz val="10"/>
      </font>
      <fill>
        <patternFill patternType="solid">
          <fgColor rgb="00E7E6E6"/>
        </patternFill>
      </fill>
    </dxf>
    <dxf>
      <font>
        <name val="Calibri"/>
        <b val="1"/>
        <color rgb="00C65911"/>
        <sz val="10"/>
      </font>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Numeric records by top-level section</a:t>
            </a:r>
          </a:p>
        </rich>
      </tx>
    </title>
    <plotArea>
      <barChart>
        <barDir val="bar"/>
        <grouping val="clustered"/>
        <ser>
          <idx val="0"/>
          <order val="0"/>
          <tx>
            <strRef>
              <f>'06 Coverage Summary'!B12</f>
            </strRef>
          </tx>
          <spPr>
            <a:ln xmlns:a="http://schemas.openxmlformats.org/drawingml/2006/main">
              <a:prstDash val="solid"/>
            </a:ln>
          </spPr>
          <cat>
            <numRef>
              <f>'06 Coverage Summary'!$A$13:$A$24</f>
            </numRef>
          </cat>
          <val>
            <numRef>
              <f>'06 Coverage Summary'!$B$13:$B$24</f>
            </numRef>
          </val>
        </ser>
        <dLbls>
          <showVal val="1"/>
        </dLbls>
        <gapWidth val="150"/>
        <axId val="10"/>
        <axId val="100"/>
      </barChart>
      <catAx>
        <axId val="10"/>
        <scaling>
          <orientation val="minMax"/>
        </scaling>
        <axPos val="l"/>
        <title>
          <tx>
            <rich>
              <a:bodyPr xmlns:a="http://schemas.openxmlformats.org/drawingml/2006/main"/>
              <a:p xmlns:a="http://schemas.openxmlformats.org/drawingml/2006/main">
                <a:pPr>
                  <a:defRPr/>
                </a:pPr>
                <a:r>
                  <a:t>Records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Section</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3</col>
      <colOff>0</colOff>
      <row>10</row>
      <rowOff>0</rowOff>
    </from>
    <ext cx="648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CoverMetadata" displayName="CoverMetadata" ref="A4:B12" headerRowCount="1">
  <autoFilter ref="A4:B12"/>
  <tableColumns count="2">
    <tableColumn id="1" name="Field"/>
    <tableColumn id="2" name="Value"/>
  </tableColumns>
  <tableStyleInfo name="TableStyleMedium2" showRowStripes="0" showColumnStripes="0"/>
</table>
</file>

<file path=xl/tables/table2.xml><?xml version="1.0" encoding="utf-8"?>
<table xmlns="http://schemas.openxmlformats.org/spreadsheetml/2006/main" id="2" name="CoverAssumptions" displayName="CoverAssumptions" ref="A15:B25" headerRowCount="1">
  <autoFilter ref="A15:B25"/>
  <tableColumns count="2">
    <tableColumn id="1" name="#"/>
    <tableColumn id="2" name="Assumption"/>
  </tableColumns>
  <tableStyleInfo name="TableStyleMedium2" showRowStripes="0" showColumnStripes="0"/>
</table>
</file>

<file path=xl/tables/table3.xml><?xml version="1.0" encoding="utf-8"?>
<table xmlns="http://schemas.openxmlformats.org/spreadsheetml/2006/main" id="3" name="Applicability" displayName="Applicability" ref="A4:B8" headerRowCount="1">
  <autoFilter ref="A4:B8"/>
  <tableColumns count="2">
    <tableColumn id="1" name="Status"/>
    <tableColumn id="2" name="Meaning"/>
  </tableColumns>
  <tableStyleInfo name="TableStyleMedium2" showRowStripes="0" showColumnStripes="0"/>
</table>
</file>

<file path=xl/tables/table4.xml><?xml version="1.0" encoding="utf-8"?>
<table xmlns="http://schemas.openxmlformats.org/spreadsheetml/2006/main" id="4" name="Sourceconfidence" displayName="Sourceconfidence" ref="A11:B13" headerRowCount="1">
  <autoFilter ref="A11:B13"/>
  <tableColumns count="2">
    <tableColumn id="1" name="Status"/>
    <tableColumn id="2" name="Meaning"/>
  </tableColumns>
  <tableStyleInfo name="TableStyleMedium2" showRowStripes="0" showColumnStripes="0"/>
</table>
</file>

<file path=xl/tables/table5.xml><?xml version="1.0" encoding="utf-8"?>
<table xmlns="http://schemas.openxmlformats.org/spreadsheetml/2006/main" id="5" name="GapRegister" displayName="GapRegister" ref="A3:D13" headerRowCount="1">
  <autoFilter ref="A3:D13"/>
  <tableColumns count="4">
    <tableColumn id="1" name="Decision / gap"/>
    <tableColumn id="2" name="Current project basis"/>
    <tableColumn id="3" name="Why it controls Chapter 11 application"/>
    <tableColumn id="4" name="Required project action"/>
  </tableColumns>
  <tableStyleInfo name="TableStyleMedium2" showRowStripes="0" showColumnStripes="0"/>
</table>
</file>

<file path=xl/tables/table6.xml><?xml version="1.0" encoding="utf-8"?>
<table xmlns="http://schemas.openxmlformats.org/spreadsheetml/2006/main" id="6" name="RequirementsMatrix" displayName="RequirementsMatrix" ref="A4:I70" headerRowCount="1">
  <autoFilter ref="A4:I70"/>
  <tableColumns count="9">
    <tableColumn id="1" name="Section"/>
    <tableColumn id="2" name="Cite"/>
    <tableColumn id="3" name="Component / check"/>
    <tableColumn id="4" name="Exact source requirement / value"/>
    <tableColumn id="5" name="Trigger / condition"/>
    <tableColumn id="6" name="Exceptions / branch"/>
    <tableColumn id="7" name="Group B status"/>
    <tableColumn id="8" name="Design action"/>
    <tableColumn id="9" name="Source confidence"/>
  </tableColumns>
  <tableStyleInfo name="TableStyleMedium2" showRowStripes="0" showColumnStripes="0"/>
</table>
</file>

<file path=xl/tables/table7.xml><?xml version="1.0" encoding="utf-8"?>
<table xmlns="http://schemas.openxmlformats.org/spreadsheetml/2006/main" id="7" name="ProjectUseControls" displayName="ProjectUseControls" ref="A3:B9" headerRowCount="1">
  <autoFilter ref="A3:B9"/>
  <tableColumns count="2">
    <tableColumn id="1" name="#"/>
    <tableColumn id="2" name="Control"/>
  </tableColumns>
  <tableStyleInfo name="TableStyleMedium2" showRowStripes="0" showColumnStripes="0"/>
</table>
</file>

<file path=xl/tables/table8.xml><?xml version="1.0" encoding="utf-8"?>
<table xmlns="http://schemas.openxmlformats.org/spreadsheetml/2006/main" id="8" name="CoverageKPIs" displayName="CoverageKPIs" ref="A4:B8" headerRowCount="1">
  <autoFilter ref="A4:B8"/>
  <tableColumns count="2">
    <tableColumn id="1" name="Metric"/>
    <tableColumn id="2" name="Value"/>
  </tableColumns>
  <tableStyleInfo name="TableStyleMedium2" showRowStripes="0" showColumnStripes="0"/>
</table>
</file>

<file path=xl/tables/table9.xml><?xml version="1.0" encoding="utf-8"?>
<table xmlns="http://schemas.openxmlformats.org/spreadsheetml/2006/main" id="9" name="CoverageBySection" displayName="CoverageBySection" ref="A12:B24" headerRowCount="1">
  <autoFilter ref="A12:B24"/>
  <tableColumns count="2">
    <tableColumn id="1" name="Top-level section"/>
    <tableColumn id="2" name="Records"/>
  </tableColumns>
  <tableStyleInfo name="TableStyleMedium2" showRowStripes="0" showColumnStripes="0"/>
</table>
</file>

<file path=xl/tables/table10.xml><?xml version="1.0" encoding="utf-8"?>
<table xmlns="http://schemas.openxmlformats.org/spreadsheetml/2006/main" id="10" name="CoverageAppendedTables" displayName="CoverageAppendedTables" ref="A27:C35" headerRowCount="1">
  <autoFilter ref="A27:C35"/>
  <tableColumns count="3">
    <tableColumn id="1" name="Appended table"/>
    <tableColumn id="2" name="Records"/>
    <tableColumn id="3" name="Verify source records"/>
  </tableColumns>
  <tableStyleInfo name="TableStyleMedium2" showRowStripes="0" showColumnStripes="0"/>
</table>
</file>

<file path=xl/tables/table11.xml><?xml version="1.0" encoding="utf-8"?>
<table xmlns="http://schemas.openxmlformats.org/spreadsheetml/2006/main" id="11" name="UnresolvedSourceRegister" displayName="UnresolvedSourceRegister" ref="A3:C11" headerRowCount="1">
  <autoFilter ref="A3:C11"/>
  <tableColumns count="3">
    <tableColumn id="1" name="Affected table / clause"/>
    <tableColumn id="2" name="Why unverified"/>
    <tableColumn id="3" name="Control note"/>
  </tableColumns>
  <tableStyleInfo name="TableStyleMedium2"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s>
</file>

<file path=xl/worksheets/_rels/sheet2.xml.rels><Relationships xmlns="http://schemas.openxmlformats.org/package/2006/relationships"><Relationship Type="http://schemas.openxmlformats.org/officeDocument/2006/relationships/table" Target="/xl/tables/table3.xml" Id="rId1"/><Relationship Type="http://schemas.openxmlformats.org/officeDocument/2006/relationships/table" Target="/xl/tables/table4.xml" Id="rId2"/></Relationships>
</file>

<file path=xl/worksheets/_rels/sheet3.xml.rels><Relationships xmlns="http://schemas.openxmlformats.org/package/2006/relationships"><Relationship Type="http://schemas.openxmlformats.org/officeDocument/2006/relationships/table" Target="/xl/tables/table5.xml" Id="rId1"/></Relationships>
</file>

<file path=xl/worksheets/_rels/sheet4.xml.rels><Relationships xmlns="http://schemas.openxmlformats.org/package/2006/relationships"><Relationship Type="http://schemas.openxmlformats.org/officeDocument/2006/relationships/table" Target="/xl/tables/table6.xml" Id="rId1"/></Relationships>
</file>

<file path=xl/worksheets/_rels/sheet5.xml.rels><Relationships xmlns="http://schemas.openxmlformats.org/package/2006/relationships"><Relationship Type="http://schemas.openxmlformats.org/officeDocument/2006/relationships/table" Target="/xl/tables/table7.xml" Id="rId1"/></Relationships>
</file>

<file path=xl/worksheets/_rels/sheet6.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8.xml" Id="rId2"/><Relationship Type="http://schemas.openxmlformats.org/officeDocument/2006/relationships/table" Target="/xl/tables/table9.xml" Id="rId3"/><Relationship Type="http://schemas.openxmlformats.org/officeDocument/2006/relationships/table" Target="/xl/tables/table10.xml" Id="rId4"/></Relationships>
</file>

<file path=xl/worksheets/_rels/sheet7.xml.rels><Relationships xmlns="http://schemas.openxmlformats.org/package/2006/relationships"><Relationship Type="http://schemas.openxmlformats.org/officeDocument/2006/relationships/table" Target="/xl/tables/table11.xml" Id="rId1"/></Relationships>
</file>

<file path=xl/worksheets/sheet1.xml><?xml version="1.0" encoding="utf-8"?>
<worksheet xmlns="http://schemas.openxmlformats.org/spreadsheetml/2006/main">
  <sheetPr>
    <outlinePr summaryBelow="1" summaryRight="1"/>
    <pageSetUpPr fitToPage="1"/>
  </sheetPr>
  <dimension ref="A1:B25"/>
  <sheetViews>
    <sheetView showGridLines="0" workbookViewId="0">
      <pane ySplit="4" topLeftCell="A5" activePane="bottomLeft" state="frozen"/>
      <selection pane="bottomLeft" activeCell="A1" sqref="A1"/>
    </sheetView>
  </sheetViews>
  <sheetFormatPr baseColWidth="8" defaultRowHeight="15"/>
  <cols>
    <col width="28" customWidth="1" min="1" max="1"/>
    <col width="120" customWidth="1" min="2" max="2"/>
  </cols>
  <sheetData>
    <row r="1" ht="36" customHeight="1">
      <c r="A1" s="1" t="inlineStr">
        <is>
          <t>SBC 201 Chapter 11 Accessibility — Group B Office and Amenities Dimensional Requirements Matrix (2024)</t>
        </is>
      </c>
    </row>
    <row r="2" ht="36" customHeight="1">
      <c r="A2" s="2" t="inlineStr">
        <is>
          <t>Source-only architectural advisory matrix for design coordination. It is not a stamped compliance statement, accessibility consultant report, SCD NOC, SBPS approval, legal opinion, or permission to construct.</t>
        </is>
      </c>
    </row>
    <row r="4" ht="28" customHeight="1">
      <c r="A4" s="3" t="inlineStr">
        <is>
          <t>Field</t>
        </is>
      </c>
      <c r="B4" s="3" t="inlineStr">
        <is>
          <t>Value</t>
        </is>
      </c>
    </row>
    <row r="5" ht="56" customHeight="1">
      <c r="A5" s="4" t="inlineStr">
        <is>
          <t>Project basis</t>
        </is>
      </c>
      <c r="B5" s="5" t="inlineStr">
        <is>
          <t>Mixed-use tall building containing Group B (office and amenities) with Group R-1 hotel and Group R-2 residential sharing podium, parking and routes. An occupied floor is stated to be more than 23 m above the relevant reference level. This matrix filters Chapter 11 for the Group B office and amenity portion.</t>
        </is>
      </c>
    </row>
    <row r="6" ht="40" customHeight="1">
      <c r="A6" s="4" t="inlineStr">
        <is>
          <t>Deliverable tier</t>
        </is>
      </c>
      <c r="B6" s="5" t="inlineStr">
        <is>
          <t>Project-use matrices in Sections 1–16 (design-check rows, not pasted inventory), plus a coverage summary and unresolved-source register. The full row inventory is not published.</t>
        </is>
      </c>
    </row>
    <row r="7" ht="28" customHeight="1">
      <c r="A7" s="4" t="inlineStr">
        <is>
          <t>Code/source basis</t>
        </is>
      </c>
      <c r="B7" s="5" t="inlineStr">
        <is>
          <t>SBC 201 (2024), Chapter 11, source file Reference\SBC 201 2024\source_reference\Chapter_11 — ACCESSIBILITY.txt.</t>
        </is>
      </c>
    </row>
    <row r="8" ht="40" customHeight="1">
      <c r="A8" s="4" t="inlineStr">
        <is>
          <t>Extraction audit</t>
        </is>
      </c>
      <c r="B8" s="5" t="inlineStr">
        <is>
          <t>Internal inventory: 276 independently checkable numeric records (192 Verified, 84 Verify source). Unresolved OCR is listed in the register and is not a design-release value.</t>
        </is>
      </c>
    </row>
    <row r="9" ht="28" customHeight="1">
      <c r="A9" s="4" t="inlineStr">
        <is>
          <t>Model</t>
        </is>
      </c>
      <c r="B9" s="5" t="inlineStr">
        <is>
          <t>Cursor Grok 4.6.</t>
        </is>
      </c>
    </row>
    <row r="10" ht="28" customHeight="1">
      <c r="A10" s="4" t="inlineStr">
        <is>
          <t>Prepared</t>
        </is>
      </c>
      <c r="B10" s="5" t="inlineStr">
        <is>
          <t>2026-08-28.</t>
        </is>
      </c>
    </row>
    <row r="11" ht="40" customHeight="1">
      <c r="A11" s="4" t="inlineStr">
        <is>
          <t>Status</t>
        </is>
      </c>
      <c r="B11" s="5" t="inlineStr">
        <is>
          <t>Source-only architectural advisory matrix for design coordination. It is not a stamped compliance statement, accessibility consultant report, SCD NOC, SBPS approval, legal opinion, or permission to construct.</t>
        </is>
      </c>
    </row>
    <row r="12" ht="56" customHeight="1">
      <c r="A12" s="4" t="inlineStr">
        <is>
          <t>Outbound-source rule</t>
        </is>
      </c>
      <c r="B12" s="5" t="inlineStr">
        <is>
          <t>No value in this matrix has been imported from ICC A117.1, Chapter 10, Chapter 9, Section 403, Chapter 30, SBC 701, SBC 901, HUD/FHAG, ADA, commentary examples, or the chapter summary. Where Chapter 11 sends the user elsewhere, this matrix records the dependency without supplying the outbound value.</t>
        </is>
      </c>
    </row>
    <row r="14">
      <c r="A14" s="6" t="inlineStr">
        <is>
          <t>Scope and assumptions</t>
        </is>
      </c>
    </row>
    <row r="15" ht="28" customHeight="1">
      <c r="A15" s="3" t="inlineStr">
        <is>
          <t>#</t>
        </is>
      </c>
      <c r="B15" s="3" t="inlineStr">
        <is>
          <t>Assumption</t>
        </is>
      </c>
    </row>
    <row r="16" ht="28" customHeight="1">
      <c r="A16" s="7" t="n">
        <v>1</v>
      </c>
      <c r="B16" s="5" t="inlineStr">
        <is>
          <t>Group B and high-rise / mixed-use status are project statements, not independently verified classifications.</t>
        </is>
      </c>
    </row>
    <row r="17" ht="40" customHeight="1">
      <c r="A17" s="8" t="n">
        <v>2</v>
      </c>
      <c r="B17" s="9" t="inlineStr">
        <is>
          <t>“Amenities” are a project statement. Dining, assembly, recreation, locker rooms, food-service and family toilets are treated as Conditional unless the amenity exists on drawings.</t>
        </is>
      </c>
    </row>
    <row r="18" ht="40" customHeight="1">
      <c r="A18" s="7" t="n">
        <v>3</v>
      </c>
      <c r="B18" s="5" t="inlineStr">
        <is>
          <t>The mixed-use podium with Group R-1 and Group R-2 is a project statement. Shared routes, parking, EV and recreation must be assigned to an occupancy before a row is used as Direct.</t>
        </is>
      </c>
    </row>
    <row r="19" ht="40" customHeight="1">
      <c r="A19" s="8" t="n">
        <v>4</v>
      </c>
      <c r="B19" s="9" t="inlineStr">
        <is>
          <t>The exact AHJ/permit pathway, project stage and SCD NOC status are unconfirmed; therefore this matrix does not conclude compliance.</t>
        </is>
      </c>
    </row>
    <row r="20" ht="40" customHeight="1">
      <c r="A20" s="7" t="n">
        <v>5</v>
      </c>
      <c r="B20" s="5" t="inlineStr">
        <is>
          <t>Group B has no dwelling/sleeping-unit mix under Section 1108. Accessible / Type A / Type B unit quotas live in the companion R-1 and R-2 Chapter 11 matrices.</t>
        </is>
      </c>
    </row>
    <row r="21" ht="40" customHeight="1">
      <c r="A21" s="8" t="n">
        <v>6</v>
      </c>
      <c r="B21" s="9" t="inlineStr">
        <is>
          <t>Automatic sprinkler protection is not selected in this chapter extract. Chapter 11 does not branch office scoping on NFPA 13 versus 13R.</t>
        </is>
      </c>
    </row>
    <row r="22" ht="28" customHeight="1">
      <c r="A22" s="7" t="n">
        <v>7</v>
      </c>
      <c r="B22" s="5" t="inlineStr">
        <is>
          <t>Occupant load, parking counts/types, EV provision, amenity program and tenant count are unconfirmed.</t>
        </is>
      </c>
    </row>
    <row r="23" ht="40" customHeight="1">
      <c r="A23" s="8" t="n">
        <v>8</v>
      </c>
      <c r="B23" s="9" t="inlineStr">
        <is>
          <t>Chapter 11 is scoping. Technical millimetre geometry for accessible routes, doors, toilets, counters and work surfaces is ICC A117.1. Charging 1102.1 names ICC A117.1 with no edition year. Neither commentary year is adopted as a charging substitution.</t>
        </is>
      </c>
    </row>
    <row r="24" ht="40" customHeight="1">
      <c r="A24" s="7" t="n">
        <v>9</v>
      </c>
      <c r="B24" s="5" t="inlineStr">
        <is>
          <t>All eight appended tables are concatenated OCR. No reconstructed cell is adopted as a design-release value. Affected project-use rows are Verify source.</t>
        </is>
      </c>
    </row>
    <row r="25" ht="40" customHeight="1">
      <c r="A25" s="8" t="n">
        <v>10</v>
      </c>
      <c r="B25" s="9" t="inlineStr">
        <is>
          <t>Do not apply R-2 2 percent parking, the 1107.2 R-2 EV exemption, or R-1 Accessible-guestroom quotas to Group B office parking or office EV.</t>
        </is>
      </c>
    </row>
  </sheetData>
  <mergeCells count="3">
    <mergeCell ref="A14:B14"/>
    <mergeCell ref="A2:B2"/>
    <mergeCell ref="A1:B1"/>
  </mergeCells>
  <pageMargins left="0.4" right="0.4" top="0.5" bottom="0.5" header="0.25" footer="0.25"/>
  <pageSetup orientation="landscape" paperSize="8" fitToHeight="0" fitToWidth="1"/>
  <headerFooter>
    <oddHeader/>
    <oddFooter>&amp;LSource-only advisory matrix — not a stamped compliance document&amp;RPage &amp;P of &amp;N</oddFooter>
    <evenHeader/>
    <evenFooter/>
    <firstHeader/>
    <firstFooter/>
  </headerFooter>
  <tableParts count="2">
    <tablePart xmlns:r="http://schemas.openxmlformats.org/officeDocument/2006/relationships" r:id="rId1"/>
    <tablePart xmlns:r="http://schemas.openxmlformats.org/officeDocument/2006/relationships" r:id="rId2"/>
  </tableParts>
</worksheet>
</file>

<file path=xl/worksheets/sheet2.xml><?xml version="1.0" encoding="utf-8"?>
<worksheet xmlns="http://schemas.openxmlformats.org/spreadsheetml/2006/main">
  <sheetPr>
    <outlinePr summaryBelow="1" summaryRight="1"/>
    <pageSetUpPr fitToPage="1"/>
  </sheetPr>
  <dimension ref="A1:B13"/>
  <sheetViews>
    <sheetView showGridLines="0" workbookViewId="0">
      <pane ySplit="2" topLeftCell="A3" activePane="bottomLeft" state="frozen"/>
      <selection pane="bottomLeft" activeCell="A1" sqref="A1"/>
    </sheetView>
  </sheetViews>
  <sheetFormatPr baseColWidth="8" defaultRowHeight="15"/>
  <cols>
    <col width="28" customWidth="1" min="1" max="1"/>
    <col width="100" customWidth="1" min="2" max="2"/>
  </cols>
  <sheetData>
    <row r="1">
      <c r="A1" s="10" t="inlineStr">
        <is>
          <t>Legends</t>
        </is>
      </c>
    </row>
    <row r="3">
      <c r="A3" s="6" t="inlineStr">
        <is>
          <t>Applicability</t>
        </is>
      </c>
    </row>
    <row r="4" ht="28" customHeight="1">
      <c r="A4" s="3" t="inlineStr">
        <is>
          <t>Status</t>
        </is>
      </c>
      <c r="B4" s="3" t="inlineStr">
        <is>
          <t>Meaning</t>
        </is>
      </c>
    </row>
    <row r="5" ht="40" customHeight="1">
      <c r="A5" s="11" t="inlineStr">
        <is>
          <t>Direct</t>
        </is>
      </c>
      <c r="B5" s="12" t="inlineStr">
        <is>
          <t>Expected to govern the stated Group B office/amenity basis, subject to confirmed geometry and design data.</t>
        </is>
      </c>
    </row>
    <row r="6" ht="28" customHeight="1">
      <c r="A6" s="13" t="inlineStr">
        <is>
          <t>Conditional</t>
        </is>
      </c>
      <c r="B6" s="9" t="inlineStr">
        <is>
          <t>Governs only when the stated feature, use, occupant load or mixed-use/podium condition exists.</t>
        </is>
      </c>
    </row>
    <row r="7" ht="40" customHeight="1">
      <c r="A7" s="14" t="inlineStr">
        <is>
          <t>Not typical</t>
        </is>
      </c>
      <c r="B7" s="12" t="inlineStr">
        <is>
          <t>Unrelated occupancy-only rule; omitted from this deliverable unless the gap register already opened that use.</t>
        </is>
      </c>
    </row>
    <row r="8" ht="40" customHeight="1">
      <c r="A8" s="15" t="inlineStr">
        <is>
          <t>External verification</t>
        </is>
      </c>
      <c r="B8" s="9" t="inlineStr">
        <is>
          <t>Chapter 11 points to another section/code/standard, or the project/AHJ basis must be confirmed before use.</t>
        </is>
      </c>
    </row>
    <row r="10">
      <c r="A10" s="6" t="inlineStr">
        <is>
          <t>Source confidence</t>
        </is>
      </c>
    </row>
    <row r="11" ht="28" customHeight="1">
      <c r="A11" s="3" t="inlineStr">
        <is>
          <t>Status</t>
        </is>
      </c>
      <c r="B11" s="3" t="inlineStr">
        <is>
          <t>Meaning</t>
        </is>
      </c>
    </row>
    <row r="12" ht="40" customHeight="1">
      <c r="A12" s="11" t="inlineStr">
        <is>
          <t>Verified</t>
        </is>
      </c>
      <c r="B12" s="12" t="inlineStr">
        <is>
          <t>Requirement and any stated numeric value were checked against unambiguous mandatory Chapter 11 source text.</t>
        </is>
      </c>
    </row>
    <row r="13" ht="28" customHeight="1">
      <c r="A13" s="16" t="inlineStr">
        <is>
          <t>Verify source</t>
        </is>
      </c>
      <c r="B13" s="9" t="inlineStr">
        <is>
          <t>OCR, flattened table, page-split, or footnote attachment is unresolved. Not a design-release value.</t>
        </is>
      </c>
    </row>
  </sheetData>
  <mergeCells count="3">
    <mergeCell ref="A3:B3"/>
    <mergeCell ref="A10:B10"/>
    <mergeCell ref="A1:B1"/>
  </mergeCells>
  <pageMargins left="0.4" right="0.4" top="0.5" bottom="0.5" header="0.25" footer="0.25"/>
  <pageSetup orientation="landscape" paperSize="8" fitToHeight="0" fitToWidth="1"/>
  <headerFooter>
    <oddHeader/>
    <oddFooter>&amp;LSource-only advisory matrix — not a stamped compliance document&amp;RPage &amp;P of &amp;N</oddFooter>
    <evenHeader/>
    <evenFooter/>
    <firstHeader/>
    <firstFooter/>
  </headerFooter>
  <tableParts count="2">
    <tablePart xmlns:r="http://schemas.openxmlformats.org/officeDocument/2006/relationships" r:id="rId1"/>
    <tablePart xmlns:r="http://schemas.openxmlformats.org/officeDocument/2006/relationships" r:id="rId2"/>
  </tableParts>
</worksheet>
</file>

<file path=xl/worksheets/sheet3.xml><?xml version="1.0" encoding="utf-8"?>
<worksheet xmlns="http://schemas.openxmlformats.org/spreadsheetml/2006/main">
  <sheetPr>
    <outlinePr summaryBelow="1" summaryRight="1"/>
    <pageSetUpPr fitToPage="1"/>
  </sheetPr>
  <dimension ref="A1:D13"/>
  <sheetViews>
    <sheetView showGridLines="0" workbookViewId="0">
      <pane ySplit="3" topLeftCell="A4" activePane="bottomLeft" state="frozen"/>
      <selection pane="bottomLeft" activeCell="A1" sqref="A1"/>
    </sheetView>
  </sheetViews>
  <sheetFormatPr baseColWidth="8" defaultRowHeight="15"/>
  <cols>
    <col width="32" customWidth="1" min="1" max="1"/>
    <col width="42" customWidth="1" min="2" max="2"/>
    <col width="52" customWidth="1" min="3" max="3"/>
    <col width="48" customWidth="1" min="4" max="4"/>
  </cols>
  <sheetData>
    <row r="1" ht="24" customHeight="1">
      <c r="A1" s="10" t="inlineStr">
        <is>
          <t>Project decision and gap register</t>
        </is>
      </c>
    </row>
    <row r="2" ht="36" customHeight="1">
      <c r="A2" s="17" t="inlineStr">
        <is>
          <t>Decisions that control how Chapter 11 is applied to this occupancy.</t>
        </is>
      </c>
    </row>
    <row r="3" ht="28" customHeight="1">
      <c r="A3" s="3" t="inlineStr">
        <is>
          <t>Decision / gap</t>
        </is>
      </c>
      <c r="B3" s="3" t="inlineStr">
        <is>
          <t>Current project basis</t>
        </is>
      </c>
      <c r="C3" s="3" t="inlineStr">
        <is>
          <t>Why it controls Chapter 11 application</t>
        </is>
      </c>
      <c r="D3" s="3" t="inlineStr">
        <is>
          <t>Required project action</t>
        </is>
      </c>
    </row>
    <row r="4" ht="40" customHeight="1">
      <c r="A4" s="12" t="inlineStr">
        <is>
          <t>ICC A117.1 edition</t>
        </is>
      </c>
      <c r="B4" s="12" t="inlineStr">
        <is>
          <t>Charging 1102.1 has no year; General Comments name 2009; commentary discusses 2017</t>
        </is>
      </c>
      <c r="C4" s="12" t="inlineStr">
        <is>
          <t>Controls turning spaces, clear floor space, door manoeuvring, toilet and counter geometry</t>
        </is>
      </c>
      <c r="D4" s="12" t="inlineStr">
        <is>
          <t>AHJ/code consultant to lock the referenced edition; do not silently switch editions</t>
        </is>
      </c>
    </row>
    <row r="5" ht="40" customHeight="1">
      <c r="A5" s="9" t="inlineStr">
        <is>
          <t>Office occupant load</t>
        </is>
      </c>
      <c r="B5" s="9" t="inlineStr">
        <is>
          <t>Unconfirmed</t>
        </is>
      </c>
      <c r="C5" s="9" t="inlineStr">
        <is>
          <t>Table 1105.1.1 lists Group B; mixed-use footnote uses the most restrictive listed load among A/B/M/R-1</t>
        </is>
      </c>
      <c r="D5" s="9" t="inlineStr">
        <is>
          <t>Freeze occupant loads by occupancy before power-door design</t>
        </is>
      </c>
    </row>
    <row r="6" ht="40" customHeight="1">
      <c r="A6" s="12" t="inlineStr">
        <is>
          <t>Amenity program</t>
        </is>
      </c>
      <c r="B6" s="12" t="inlineStr">
        <is>
          <t>Unconfirmed gym, F&amp;B, assembly, locker rooms, retail</t>
        </is>
      </c>
      <c r="C6" s="12" t="inlineStr">
        <is>
          <t>Opens 1109 dining/assembly, 1110.2.1 family toilets, 1110.13 food service, 1111.3 recreation</t>
        </is>
      </c>
      <c r="D6" s="12" t="inlineStr">
        <is>
          <t>Freeze amenity schedule by room and occupancy served</t>
        </is>
      </c>
    </row>
    <row r="7" ht="40" customHeight="1">
      <c r="A7" s="9" t="inlineStr">
        <is>
          <t>Mixed-use Type B on the same structure</t>
        </is>
      </c>
      <c r="B7" s="9" t="inlineStr">
        <is>
          <t>R-2 Type B units stated on the same building</t>
        </is>
      </c>
      <c r="C7" s="9" t="inlineStr">
        <is>
          <t>1104.1 vehicular-way exception does not apply to buildings containing or serving Type B units</t>
        </is>
      </c>
      <c r="D7" s="9" t="inlineStr">
        <is>
          <t>Provide a pedestrian accessible route from every applicable arrival point</t>
        </is>
      </c>
    </row>
    <row r="8" ht="56" customHeight="1">
      <c r="A8" s="12" t="inlineStr">
        <is>
          <t>Parking facility split</t>
        </is>
      </c>
      <c r="B8" s="12" t="inlineStr">
        <is>
          <t>Unconfirmed shared garage</t>
        </is>
      </c>
      <c r="C8" s="12" t="inlineStr">
        <is>
          <t>Group B uses Table 1106.2 via 1106.2, not 1106.3 residential items; calculate each parking facility separately</t>
        </is>
      </c>
      <c r="D8" s="12" t="inlineStr">
        <is>
          <t>Produce a parking schedule by facility and occupancy served (office, hotel, residential)</t>
        </is>
      </c>
    </row>
    <row r="9" ht="40" customHeight="1">
      <c r="A9" s="9" t="inlineStr">
        <is>
          <t>EV charging</t>
        </is>
      </c>
      <c r="B9" s="9" t="inlineStr">
        <is>
          <t>Unconfirmed</t>
        </is>
      </c>
      <c r="C9" s="9" t="inlineStr">
        <is>
          <t>1107.2 exception is R-2, R-3, R-4 only — office/public EV is not exempt</t>
        </is>
      </c>
      <c r="D9" s="9" t="inlineStr">
        <is>
          <t>If office or public chargers exist, apply 1107.2.1 / 1107.2.2</t>
        </is>
      </c>
    </row>
    <row r="10" ht="40" customHeight="1">
      <c r="A10" s="12" t="inlineStr">
        <is>
          <t>Recreation serving which occupancy</t>
        </is>
      </c>
      <c r="B10" s="12" t="inlineStr">
        <is>
          <t>Unconfirmed shared pool/gym</t>
        </is>
      </c>
      <c r="C10" s="12" t="inlineStr">
        <is>
          <t>Office/hotel recreation uses 1111.3 (all facilities accessible). R-2 Type A/B uses 1111.2.2 (25% / ≥ 1)</t>
        </is>
      </c>
      <c r="D10" s="12" t="inlineStr">
        <is>
          <t>Map every recreational facility to the occupancies it serves</t>
        </is>
      </c>
    </row>
    <row r="11" ht="40" customHeight="1">
      <c r="A11" s="9" t="inlineStr">
        <is>
          <t>Health-care tenants</t>
        </is>
      </c>
      <c r="B11" s="9" t="inlineStr">
        <is>
          <t>Unconfirmed</t>
        </is>
      </c>
      <c r="C11" s="9" t="inlineStr">
        <is>
          <t>1104.4 Exception 1 does not apply to stories containing offices of health care providers (Group B or I)</t>
        </is>
      </c>
      <c r="D11" s="9" t="inlineStr">
        <is>
          <t>If clinics are in the podium, do not use the 279 m² story-skip in any event</t>
        </is>
      </c>
    </row>
    <row r="12" ht="56" customHeight="1">
      <c r="A12" s="12" t="inlineStr">
        <is>
          <t>Occupied roof / amenities</t>
        </is>
      </c>
      <c r="B12" s="12" t="inlineStr">
        <is>
          <t>Unconfirmed</t>
        </is>
      </c>
      <c r="C12" s="12" t="inlineStr">
        <is>
          <t>1104.4 requires an accessible route to each accessible story, mezzanine and occupied roof; elevator high-rise does not use the 279 m² skip</t>
        </is>
      </c>
      <c r="D12" s="12" t="inlineStr">
        <is>
          <t>Show an accessible route to office floors, amenity floors and any occupied roof</t>
        </is>
      </c>
    </row>
    <row r="13" ht="56" customHeight="1">
      <c r="A13" s="9" t="inlineStr">
        <is>
          <t>NOC / accessibility consultant</t>
        </is>
      </c>
      <c r="B13" s="9" t="inlineStr">
        <is>
          <t>Unconfirmed</t>
        </is>
      </c>
      <c r="C13" s="9" t="inlineStr">
        <is>
          <t>Technical A117.1 geometry, assisted-evacuation and SCD acceptance cannot be concluded from Chapter 11 scoping alone</t>
        </is>
      </c>
      <c r="D13" s="9" t="inlineStr">
        <is>
          <t>Engage the qualified local accessibility/fire consultants before design freeze</t>
        </is>
      </c>
    </row>
  </sheetData>
  <mergeCells count="2">
    <mergeCell ref="A1:D1"/>
    <mergeCell ref="A2:D2"/>
  </mergeCells>
  <pageMargins left="0.4" right="0.4" top="0.5" bottom="0.5" header="0.25" footer="0.25"/>
  <pageSetup orientation="landscape" paperSize="8" fitToHeight="0" fitToWidth="1"/>
  <headerFooter>
    <oddHeader/>
    <oddFooter>&amp;LSource-only advisory matrix — not a stamped compliance document&amp;RPage &amp;P of &amp;N</oddFooter>
    <evenHeader/>
    <evenFooter/>
    <firstHeader/>
    <firstFooter/>
  </headerFooter>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I7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2" customWidth="1" min="1" max="1"/>
    <col width="26" customWidth="1" min="2" max="2"/>
    <col width="34" customWidth="1" min="3" max="3"/>
    <col width="52" customWidth="1" min="4" max="4"/>
    <col width="36" customWidth="1" min="5" max="5"/>
    <col width="48" customWidth="1" min="6" max="6"/>
    <col width="22" customWidth="1" min="7" max="7"/>
    <col width="48" customWidth="1" min="8" max="8"/>
    <col width="16" customWidth="1" min="9" max="9"/>
  </cols>
  <sheetData>
    <row r="1">
      <c r="A1" s="10" t="inlineStr">
        <is>
          <t>Project-use requirements matrix (Sections 4–15)</t>
        </is>
      </c>
    </row>
    <row r="2" ht="32" customHeight="1">
      <c r="A2" s="17" t="inlineStr">
        <is>
          <t>Design-check rows. Filter by section, occupancy status, or source confidence. Verify source rows are not design-release values.</t>
        </is>
      </c>
    </row>
    <row r="4" ht="32" customHeight="1">
      <c r="A4" s="3" t="inlineStr">
        <is>
          <t>Section</t>
        </is>
      </c>
      <c r="B4" s="3" t="inlineStr">
        <is>
          <t>Cite</t>
        </is>
      </c>
      <c r="C4" s="3" t="inlineStr">
        <is>
          <t>Component / check</t>
        </is>
      </c>
      <c r="D4" s="3" t="inlineStr">
        <is>
          <t>Exact source requirement / value</t>
        </is>
      </c>
      <c r="E4" s="3" t="inlineStr">
        <is>
          <t>Trigger / condition</t>
        </is>
      </c>
      <c r="F4" s="3" t="inlineStr">
        <is>
          <t>Exceptions / branch</t>
        </is>
      </c>
      <c r="G4" s="3" t="inlineStr">
        <is>
          <t>Group B status</t>
        </is>
      </c>
      <c r="H4" s="3" t="inlineStr">
        <is>
          <t>Design action</t>
        </is>
      </c>
      <c r="I4" s="3" t="inlineStr">
        <is>
          <t>Source confidence</t>
        </is>
      </c>
    </row>
    <row r="5" ht="56" customHeight="1">
      <c r="A5" s="12" t="inlineStr">
        <is>
          <t>4. Scoping versus technical standard</t>
        </is>
      </c>
      <c r="B5" s="12" t="inlineStr">
        <is>
          <t>1101.1</t>
        </is>
      </c>
      <c r="C5" s="12" t="inlineStr">
        <is>
          <t>Chapter scope</t>
        </is>
      </c>
      <c r="D5" s="12" t="inlineStr">
        <is>
          <t>This chapter controls design and construction of facilities for accessibility</t>
        </is>
      </c>
      <c r="E5" s="12" t="inlineStr">
        <is>
          <t>All facilities in scope</t>
        </is>
      </c>
      <c r="F5" s="12" t="inlineStr">
        <is>
          <t>None stated</t>
        </is>
      </c>
      <c r="G5" s="11" t="inlineStr">
        <is>
          <t>Direct</t>
        </is>
      </c>
      <c r="H5" s="12" t="inlineStr">
        <is>
          <t>Treat Chapter 11 as the scoping document for office floors, amenities and the site elements that serve them</t>
        </is>
      </c>
      <c r="I5" s="11" t="inlineStr">
        <is>
          <t>Verified</t>
        </is>
      </c>
    </row>
    <row r="6" ht="40" customHeight="1">
      <c r="A6" s="9" t="inlineStr">
        <is>
          <t>4. Scoping versus technical standard</t>
        </is>
      </c>
      <c r="B6" s="9" t="inlineStr">
        <is>
          <t>1102.1</t>
        </is>
      </c>
      <c r="C6" s="9" t="inlineStr">
        <is>
          <t>ICC A117.1</t>
        </is>
      </c>
      <c r="D6" s="9" t="inlineStr">
        <is>
          <t>Accessible in accordance with this code and ICC A117.1 (no year)</t>
        </is>
      </c>
      <c r="E6" s="9" t="inlineStr">
        <is>
          <t>All required accessible facilities</t>
        </is>
      </c>
      <c r="F6" s="9" t="inlineStr">
        <is>
          <t>None stated</t>
        </is>
      </c>
      <c r="G6" s="15" t="inlineStr">
        <is>
          <t>External verification</t>
        </is>
      </c>
      <c r="H6" s="9" t="inlineStr">
        <is>
          <t>Lock the A117.1 edition with the AHJ; do not import millimetre geometry here</t>
        </is>
      </c>
      <c r="I6" s="11" t="inlineStr">
        <is>
          <t>Verified</t>
        </is>
      </c>
    </row>
    <row r="7" ht="40" customHeight="1">
      <c r="A7" s="12" t="inlineStr">
        <is>
          <t>4. Scoping versus technical standard</t>
        </is>
      </c>
      <c r="B7" s="12" t="inlineStr">
        <is>
          <t>1110.1</t>
        </is>
      </c>
      <c r="C7" s="12" t="inlineStr">
        <is>
          <t>Other features</t>
        </is>
      </c>
      <c r="D7" s="12" t="inlineStr">
        <is>
          <t>Accessible building features and facilities shall be provided in accordance with 1110.2 through 1110.16</t>
        </is>
      </c>
      <c r="E7" s="12" t="inlineStr">
        <is>
          <t>Features listed in 1110</t>
        </is>
      </c>
      <c r="F7" s="12" t="inlineStr">
        <is>
          <t>Accessible / Type A / Type B units comply with ICC A117.1 Chapter 10 (units are not this occupancy)</t>
        </is>
      </c>
      <c r="G7" s="11" t="inlineStr">
        <is>
          <t>Direct</t>
        </is>
      </c>
      <c r="H7" s="12" t="inlineStr">
        <is>
          <t>Apply 1110 to office toilets, kitchens, counters, storage and operable parts</t>
        </is>
      </c>
      <c r="I7" s="11" t="inlineStr">
        <is>
          <t>Verified</t>
        </is>
      </c>
    </row>
    <row r="8" ht="40" customHeight="1">
      <c r="A8" s="9" t="inlineStr">
        <is>
          <t>5. General applicability and employee work areas</t>
        </is>
      </c>
      <c r="B8" s="9" t="inlineStr">
        <is>
          <t>1103.1</t>
        </is>
      </c>
      <c r="C8" s="9" t="inlineStr">
        <is>
          <t>Default accessibility</t>
        </is>
      </c>
      <c r="D8" s="9" t="inlineStr">
        <is>
          <t>Sites, buildings, structures, facilities, elements and spaces, temporary or permanent, shall be accessible</t>
        </is>
      </c>
      <c r="E8" s="9" t="inlineStr">
        <is>
          <t>All construction</t>
        </is>
      </c>
      <c r="F8" s="9" t="inlineStr">
        <is>
          <t>Only to the extent permitted by 1103.2 / 1104–1112</t>
        </is>
      </c>
      <c r="G8" s="11" t="inlineStr">
        <is>
          <t>Direct</t>
        </is>
      </c>
      <c r="H8" s="9" t="inlineStr">
        <is>
          <t>Assume accessible unless a numbered exception is proven</t>
        </is>
      </c>
      <c r="I8" s="11" t="inlineStr">
        <is>
          <t>Verified</t>
        </is>
      </c>
    </row>
    <row r="9" ht="56" customHeight="1">
      <c r="A9" s="12" t="inlineStr">
        <is>
          <t>5. General applicability and employee work areas</t>
        </is>
      </c>
      <c r="B9" s="12" t="inlineStr">
        <is>
          <t>1103.2.2</t>
        </is>
      </c>
      <c r="C9" s="12" t="inlineStr">
        <is>
          <t>Employee work areas</t>
        </is>
      </c>
      <c r="D9" s="12" t="inlineStr">
        <is>
          <t>Approach, enter and exit plus 907.5.2.3.1, 1009 and 1104.3.1 only</t>
        </is>
      </c>
      <c r="E9" s="12" t="inlineStr">
        <is>
          <t>Employee work areas</t>
        </is>
      </c>
      <c r="F9" s="12" t="inlineStr">
        <is>
          <t>Portions &lt; 28 m² and ≥ 175 mm essential level change exempt from all requirements (not courtroom stations)</t>
        </is>
      </c>
      <c r="G9" s="11" t="inlineStr">
        <is>
          <t>Direct</t>
        </is>
      </c>
      <c r="H9" s="12" t="inlineStr">
        <is>
          <t>Require an accessible route to each workstation; do not fully fit-out cubicle interiors. Keep visible alarm and accessible MOE outbound</t>
        </is>
      </c>
      <c r="I9" s="11" t="inlineStr">
        <is>
          <t>Verified</t>
        </is>
      </c>
    </row>
    <row r="10" ht="72" customHeight="1">
      <c r="A10" s="9" t="inlineStr">
        <is>
          <t>5. General applicability and employee work areas</t>
        </is>
      </c>
      <c r="B10" s="9" t="inlineStr">
        <is>
          <t>1104.3.1</t>
        </is>
      </c>
      <c r="C10" s="9" t="inlineStr">
        <is>
          <t>Work-area circulation</t>
        </is>
      </c>
      <c r="D10" s="9" t="inlineStr">
        <is>
          <t>Common-use circulation paths within employee work areas shall be accessible routes</t>
        </is>
      </c>
      <c r="E10" s="9" t="inlineStr">
        <is>
          <t>Employee work areas</t>
        </is>
      </c>
      <c r="F10" s="9" t="inlineStr">
        <is>
          <t>Ex. 1: paths in work areas &lt; 100 m² defined by permanent partitions/furnishings. Ex. 2: equipment-integral paths. Ex. 3: fully weather-exposed exterior work areas</t>
        </is>
      </c>
      <c r="G10" s="11" t="inlineStr">
        <is>
          <t>Direct</t>
        </is>
      </c>
      <c r="H10" s="9" t="inlineStr">
        <is>
          <t>Keep an accessible route through open office floors; small defined workstations may skip the path through the station</t>
        </is>
      </c>
      <c r="I10" s="11" t="inlineStr">
        <is>
          <t>Verified</t>
        </is>
      </c>
    </row>
    <row r="11" ht="56" customHeight="1">
      <c r="A11" s="12" t="inlineStr">
        <is>
          <t>5. General applicability and employee work areas</t>
        </is>
      </c>
      <c r="B11" s="12" t="inlineStr">
        <is>
          <t>1103.2.9</t>
        </is>
      </c>
      <c r="C11" s="12" t="inlineStr">
        <is>
          <t>Equipment spaces</t>
        </is>
      </c>
      <c r="D11" s="12" t="inlineStr">
        <is>
          <t>Spaces frequented only by service personnel for maintenance, repair or occasional monitoring of equipment are not required to comply with this chapter</t>
        </is>
      </c>
      <c r="E11" s="12" t="inlineStr">
        <is>
          <t>Service-only equipment spaces</t>
        </is>
      </c>
      <c r="F11" s="12" t="inlineStr">
        <is>
          <t>None stated</t>
        </is>
      </c>
      <c r="G11" s="11" t="inlineStr">
        <is>
          <t>Direct</t>
        </is>
      </c>
      <c r="H11" s="12" t="inlineStr">
        <is>
          <t>Do not force an accessible route into elevator pits, penthouses or typical MEP rooms</t>
        </is>
      </c>
      <c r="I11" s="11" t="inlineStr">
        <is>
          <t>Verified</t>
        </is>
      </c>
    </row>
    <row r="12" ht="56" customHeight="1">
      <c r="A12" s="9" t="inlineStr">
        <is>
          <t>5. General applicability and employee work areas</t>
        </is>
      </c>
      <c r="B12" s="9" t="inlineStr">
        <is>
          <t>1103.2.7</t>
        </is>
      </c>
      <c r="C12" s="9" t="inlineStr">
        <is>
          <t>Limited-access spaces</t>
        </is>
      </c>
      <c r="D12" s="9" t="inlineStr">
        <is>
          <t>Spaces accessed only by ladders, catwalks, crawl spaces, freight elevators or very narrow passageways are not required to comply with this chapter</t>
        </is>
      </c>
      <c r="E12" s="9" t="inlineStr">
        <is>
          <t>Those access-only spaces</t>
        </is>
      </c>
      <c r="F12" s="9" t="inlineStr">
        <is>
          <t>None stated</t>
        </is>
      </c>
      <c r="G12" s="11" t="inlineStr">
        <is>
          <t>Direct</t>
        </is>
      </c>
      <c r="H12" s="9" t="inlineStr">
        <is>
          <t>Exempt catwalks and crawl spaces; do not use this for ordinary office floors</t>
        </is>
      </c>
      <c r="I12" s="11" t="inlineStr">
        <is>
          <t>Verified</t>
        </is>
      </c>
    </row>
    <row r="13" ht="56" customHeight="1">
      <c r="A13" s="12" t="inlineStr">
        <is>
          <t>5. General applicability and employee work areas</t>
        </is>
      </c>
      <c r="B13" s="12" t="inlineStr">
        <is>
          <t>1103.2.14</t>
        </is>
      </c>
      <c r="C13" s="12" t="inlineStr">
        <is>
          <t>Walk-in coolers</t>
        </is>
      </c>
      <c r="D13" s="12" t="inlineStr">
        <is>
          <t>Walk-in cooler and freezer equipment accessed only from employee work areas is not required to comply with this chapter</t>
        </is>
      </c>
      <c r="E13" s="12" t="inlineStr">
        <is>
          <t>BOH coolers</t>
        </is>
      </c>
      <c r="F13" s="12" t="inlineStr">
        <is>
          <t>Public-facing coolers still need operable parts / display on the public side</t>
        </is>
      </c>
      <c r="G13" s="13" t="inlineStr">
        <is>
          <t>Conditional</t>
        </is>
      </c>
      <c r="H13" s="12" t="inlineStr">
        <is>
          <t>Exempt amenity-kitchen walk-ins; keep F&amp;B display coolers in the operable-parts package</t>
        </is>
      </c>
      <c r="I13" s="11" t="inlineStr">
        <is>
          <t>Verified</t>
        </is>
      </c>
    </row>
    <row r="14" ht="56" customHeight="1">
      <c r="A14" s="9" t="inlineStr">
        <is>
          <t>6. Accessible routes and stories</t>
        </is>
      </c>
      <c r="B14" s="9" t="inlineStr">
        <is>
          <t>1104.1</t>
        </is>
      </c>
      <c r="C14" s="9" t="inlineStr">
        <is>
          <t>Site arrival route</t>
        </is>
      </c>
      <c r="D14" s="9" t="inlineStr">
        <is>
          <t>At least one accessible route from transit, accessible parking, accessible loading, streets/sidewalks to the accessible entrance</t>
        </is>
      </c>
      <c r="E14" s="9" t="inlineStr">
        <is>
          <t>Site arrival points</t>
        </is>
      </c>
      <c r="F14" s="9" t="inlineStr">
        <is>
          <t>Vehicular-way-only exception does not apply to buildings containing or serving Type B units (R-2 on this mixed-use structure)</t>
        </is>
      </c>
      <c r="G14" s="11" t="inlineStr">
        <is>
          <t>Direct</t>
        </is>
      </c>
      <c r="H14" s="9" t="inlineStr">
        <is>
          <t>Provide a pedestrian accessible route from every applicable arrival point</t>
        </is>
      </c>
      <c r="I14" s="11" t="inlineStr">
        <is>
          <t>Verified</t>
        </is>
      </c>
    </row>
    <row r="15" ht="56" customHeight="1">
      <c r="A15" s="12" t="inlineStr">
        <is>
          <t>6. Accessible routes and stories</t>
        </is>
      </c>
      <c r="B15" s="12" t="inlineStr">
        <is>
          <t>1104.2</t>
        </is>
      </c>
      <c r="C15" s="12" t="inlineStr">
        <is>
          <t>On-site connections</t>
        </is>
      </c>
      <c r="D15" s="12" t="inlineStr">
        <is>
          <t>At least one accessible route connecting accessible buildings, facilities, elements and spaces on the same site</t>
        </is>
      </c>
      <c r="E15" s="12" t="inlineStr">
        <is>
          <t>Multiple accessible elements on one site</t>
        </is>
      </c>
      <c r="F15" s="12" t="inlineStr">
        <is>
          <t>Vehicular-way-only; recreation only as 1111</t>
        </is>
      </c>
      <c r="G15" s="11" t="inlineStr">
        <is>
          <t>Direct</t>
        </is>
      </c>
      <c r="H15" s="12" t="inlineStr">
        <is>
          <t>Connect podium, parking, office lobby and amenities to the same accessible network</t>
        </is>
      </c>
      <c r="I15" s="11" t="inlineStr">
        <is>
          <t>Verified</t>
        </is>
      </c>
    </row>
    <row r="16" ht="56" customHeight="1">
      <c r="A16" s="9" t="inlineStr">
        <is>
          <t>6. Accessible routes and stories</t>
        </is>
      </c>
      <c r="B16" s="9" t="inlineStr">
        <is>
          <t>1104.3</t>
        </is>
      </c>
      <c r="C16" s="9" t="inlineStr">
        <is>
          <t>Connected spaces</t>
        </is>
      </c>
      <c r="D16" s="9" t="inlineStr">
        <is>
          <t>At least one accessible route to each required accessible portion, to accessible entrances connecting accessible walkways, and to the public way</t>
        </is>
      </c>
      <c r="E16" s="9" t="inlineStr">
        <is>
          <t>Building required to be accessible</t>
        </is>
      </c>
      <c r="F16" s="9" t="inlineStr">
        <is>
          <t>1104.4 story skips; assembly levels without wheelchair spaces; courtroom workstations; 1111 recreation</t>
        </is>
      </c>
      <c r="G16" s="11" t="inlineStr">
        <is>
          <t>Direct</t>
        </is>
      </c>
      <c r="H16" s="9" t="inlineStr">
        <is>
          <t>Trace the accessible route from public way through lobby, lifts, office floors and amenity floors</t>
        </is>
      </c>
      <c r="I16" s="11" t="inlineStr">
        <is>
          <t>Verified</t>
        </is>
      </c>
    </row>
    <row r="17" ht="88" customHeight="1">
      <c r="A17" s="12" t="inlineStr">
        <is>
          <t>6. Accessible routes and stories</t>
        </is>
      </c>
      <c r="B17" s="12" t="inlineStr">
        <is>
          <t>1104.4</t>
        </is>
      </c>
      <c r="C17" s="12" t="inlineStr">
        <is>
          <t>Multistory / occupied roof</t>
        </is>
      </c>
      <c r="D17" s="12" t="inlineStr">
        <is>
          <t>At least one accessible route shall connect each accessible story, mezzanine and occupied roofs</t>
        </is>
      </c>
      <c r="E17" s="12" t="inlineStr">
        <is>
          <t>Multilevel buildings</t>
        </is>
      </c>
      <c r="F17" s="12" t="inlineStr">
        <is>
          <t>Exception 1 (≤ 279 m² aggregate) shall not apply to health-care-provider offices (Group B or I), government buildings, or this elevator high-rise. Exception 4: two-story building with occupant load five or fewer, no public use</t>
        </is>
      </c>
      <c r="G17" s="11" t="inlineStr">
        <is>
          <t>Direct</t>
        </is>
      </c>
      <c r="H17" s="12" t="inlineStr">
        <is>
          <t>Do not use the 279 m² story-skip; serve every office and amenity level including occupied roof</t>
        </is>
      </c>
      <c r="I17" s="11" t="inlineStr">
        <is>
          <t>Verified</t>
        </is>
      </c>
    </row>
    <row r="18" ht="88" customHeight="1">
      <c r="A18" s="9" t="inlineStr">
        <is>
          <t>6. Accessible routes and stories</t>
        </is>
      </c>
      <c r="B18" s="9" t="inlineStr">
        <is>
          <t>1104.5</t>
        </is>
      </c>
      <c r="C18" s="9" t="inlineStr">
        <is>
          <t>Route coincidence</t>
        </is>
      </c>
      <c r="D18" s="9" t="inlineStr">
        <is>
          <t>Accessible routes shall coincide with or be in the same area as general circulation; interior circulation requires an interior accessible route; a single accessible route shall not pass through kitchens, storage, restrooms, closets or similar</t>
        </is>
      </c>
      <c r="E18" s="9" t="inlineStr">
        <is>
          <t>Accessible routes</t>
        </is>
      </c>
      <c r="F18" s="9" t="inlineStr">
        <is>
          <t>Garage-to-Type B interior exception is residential, not this occupancy</t>
        </is>
      </c>
      <c r="G18" s="11" t="inlineStr">
        <is>
          <t>Direct</t>
        </is>
      </c>
      <c r="H18" s="9" t="inlineStr">
        <is>
          <t>Keep common accessible routes in public/office circulation, not through service rooms</t>
        </is>
      </c>
      <c r="I18" s="11" t="inlineStr">
        <is>
          <t>Verified</t>
        </is>
      </c>
    </row>
    <row r="19" ht="56" customHeight="1">
      <c r="A19" s="12" t="inlineStr">
        <is>
          <t>6. Accessible routes and stories</t>
        </is>
      </c>
      <c r="B19" s="12" t="inlineStr">
        <is>
          <t>1104.6</t>
        </is>
      </c>
      <c r="C19" s="12" t="inlineStr">
        <is>
          <t>Security barriers</t>
        </is>
      </c>
      <c r="D19" s="12" t="inlineStr">
        <is>
          <t>Security barriers shall not obstruct a required accessible route or accessible means of egress</t>
        </is>
      </c>
      <c r="E19" s="12" t="inlineStr">
        <is>
          <t>Bollards, checkpoints</t>
        </is>
      </c>
      <c r="F19" s="12" t="inlineStr">
        <is>
          <t>Adjacent route permitted around devices that cannot comply (metal detectors), with visual contact of personal items</t>
        </is>
      </c>
      <c r="G19" s="13" t="inlineStr">
        <is>
          <t>Conditional</t>
        </is>
      </c>
      <c r="H19" s="12" t="inlineStr">
        <is>
          <t>If a lobby security line exists, provide an adjacent accessible path that keeps bags in view</t>
        </is>
      </c>
      <c r="I19" s="11" t="inlineStr">
        <is>
          <t>Verified</t>
        </is>
      </c>
    </row>
    <row r="20" ht="40" customHeight="1">
      <c r="A20" s="9" t="inlineStr">
        <is>
          <t>7. Entrances</t>
        </is>
      </c>
      <c r="B20" s="9" t="inlineStr">
        <is>
          <t>1105.1</t>
        </is>
      </c>
      <c r="C20" s="9" t="inlineStr">
        <is>
          <t>Public entrances</t>
        </is>
      </c>
      <c r="D20" s="9" t="inlineStr">
        <is>
          <t>At least 60 percent of all public entrances shall be accessible, in addition to 1105.1.2–1105.1.8</t>
        </is>
      </c>
      <c r="E20" s="9" t="inlineStr">
        <is>
          <t>Public entrances</t>
        </is>
      </c>
      <c r="F20" s="9" t="inlineStr">
        <is>
          <t>Areas not required to be accessible; loading/service entrances that are not the only tenant entrance</t>
        </is>
      </c>
      <c r="G20" s="11" t="inlineStr">
        <is>
          <t>Direct</t>
        </is>
      </c>
      <c r="H20" s="9" t="inlineStr">
        <is>
          <t>Count public doors (not egress-only doors) and make ≥ 60% accessible</t>
        </is>
      </c>
      <c r="I20" s="11" t="inlineStr">
        <is>
          <t>Verified</t>
        </is>
      </c>
    </row>
    <row r="21" ht="72" customHeight="1">
      <c r="A21" s="12" t="inlineStr">
        <is>
          <t>7. Entrances</t>
        </is>
      </c>
      <c r="B21" s="12" t="inlineStr">
        <is>
          <t>1105.1.1 / Table 1105.1.1</t>
        </is>
      </c>
      <c r="C21" s="12" t="inlineStr">
        <is>
          <t>Power-operated public entrance</t>
        </is>
      </c>
      <c r="D21" s="12" t="inlineStr">
        <is>
          <t>One full-power or low-energy power-operated door at each required accessible public entrance when occupancy and building occupant load exceed the table; vestibule: one leaf in and one leaf out</t>
        </is>
      </c>
      <c r="E21" s="12" t="inlineStr">
        <is>
          <t>Table lists Groups A-1–A-4 and B, M, R-1. Mixed-use uses the most restrictive listed load</t>
        </is>
      </c>
      <c r="F21" s="12" t="inlineStr">
        <is>
          <t>Flattened OCR occupant-load cells are not adopted</t>
        </is>
      </c>
      <c r="G21" s="11" t="inlineStr">
        <is>
          <t>Direct</t>
        </is>
      </c>
      <c r="H21" s="12" t="inlineStr">
        <is>
          <t>Power-operate accessible office public entrances once the published Group B load is confirmed; mixed-use may use the most restrictive listed load</t>
        </is>
      </c>
      <c r="I21" s="16" t="inlineStr">
        <is>
          <t>Verify source</t>
        </is>
      </c>
    </row>
    <row r="22" ht="40" customHeight="1">
      <c r="A22" s="9" t="inlineStr">
        <is>
          <t>7. Entrances</t>
        </is>
      </c>
      <c r="B22" s="9" t="inlineStr">
        <is>
          <t>1105.1.2</t>
        </is>
      </c>
      <c r="C22" s="9" t="inlineStr">
        <is>
          <t>Parking-garage entrance</t>
        </is>
      </c>
      <c r="D22" s="9" t="inlineStr">
        <is>
          <t>Direct pedestrian access from parking structures to building/facility entrances shall be accessible</t>
        </is>
      </c>
      <c r="E22" s="9" t="inlineStr">
        <is>
          <t>Direct garage-to-building pedestrian access</t>
        </is>
      </c>
      <c r="F22" s="9" t="inlineStr">
        <is>
          <t>None stated</t>
        </is>
      </c>
      <c r="G22" s="11" t="inlineStr">
        <is>
          <t>Direct</t>
        </is>
      </c>
      <c r="H22" s="9" t="inlineStr">
        <is>
          <t>Provide an accessible pedestrian door from the parking structure into the office lobby</t>
        </is>
      </c>
      <c r="I22" s="11" t="inlineStr">
        <is>
          <t>Verified</t>
        </is>
      </c>
    </row>
    <row r="23" ht="40" customHeight="1">
      <c r="A23" s="12" t="inlineStr">
        <is>
          <t>7. Entrances</t>
        </is>
      </c>
      <c r="B23" s="12" t="inlineStr">
        <is>
          <t>1105.1.3</t>
        </is>
      </c>
      <c r="C23" s="12" t="inlineStr">
        <is>
          <t>Tunnel / walkway entrance</t>
        </is>
      </c>
      <c r="D23" s="12" t="inlineStr">
        <is>
          <t>At least one accessible entrance from each pedestrian tunnel or elevated walkway</t>
        </is>
      </c>
      <c r="E23" s="12" t="inlineStr">
        <is>
          <t>Direct pedestrian access from those links</t>
        </is>
      </c>
      <c r="F23" s="12" t="inlineStr">
        <is>
          <t>None stated</t>
        </is>
      </c>
      <c r="G23" s="13" t="inlineStr">
        <is>
          <t>Conditional</t>
        </is>
      </c>
      <c r="H23" s="12" t="inlineStr">
        <is>
          <t>If a podium link bridge exists, make at least one door from it accessible</t>
        </is>
      </c>
      <c r="I23" s="11" t="inlineStr">
        <is>
          <t>Verified</t>
        </is>
      </c>
    </row>
    <row r="24" ht="56" customHeight="1">
      <c r="A24" s="9" t="inlineStr">
        <is>
          <t>7. Entrances</t>
        </is>
      </c>
      <c r="B24" s="9" t="inlineStr">
        <is>
          <t>1105.1.4</t>
        </is>
      </c>
      <c r="C24" s="9" t="inlineStr">
        <is>
          <t>Restricted entrance</t>
        </is>
      </c>
      <c r="D24" s="9" t="inlineStr">
        <is>
          <t>At least one restricted entrance shall be accessible</t>
        </is>
      </c>
      <c r="E24" s="9" t="inlineStr">
        <is>
          <t>Restricted (security-controlled) entrances</t>
        </is>
      </c>
      <c r="F24" s="9" t="inlineStr">
        <is>
          <t>Ordinary key-card staff doors are not this section</t>
        </is>
      </c>
      <c r="G24" s="13" t="inlineStr">
        <is>
          <t>Conditional</t>
        </is>
      </c>
      <c r="H24" s="9" t="inlineStr">
        <is>
          <t>If a tenant-secure office entry exists as a restricted entrance, make at least one of that type accessible</t>
        </is>
      </c>
      <c r="I24" s="11" t="inlineStr">
        <is>
          <t>Verified</t>
        </is>
      </c>
    </row>
    <row r="25" ht="40" customHeight="1">
      <c r="A25" s="12" t="inlineStr">
        <is>
          <t>7. Entrances</t>
        </is>
      </c>
      <c r="B25" s="12" t="inlineStr">
        <is>
          <t>1105.1.6</t>
        </is>
      </c>
      <c r="C25" s="12" t="inlineStr">
        <is>
          <t>Sole service entrance</t>
        </is>
      </c>
      <c r="D25" s="12" t="inlineStr">
        <is>
          <t>If a service entrance is the only entrance to a building or tenant space, that entrance shall be accessible</t>
        </is>
      </c>
      <c r="E25" s="12" t="inlineStr">
        <is>
          <t>Service entrance as the only entry</t>
        </is>
      </c>
      <c r="F25" s="12" t="inlineStr">
        <is>
          <t>Loading docks that are not the only entry are excepted from 1105.1</t>
        </is>
      </c>
      <c r="G25" s="13" t="inlineStr">
        <is>
          <t>Conditional</t>
        </is>
      </c>
      <c r="H25" s="12" t="inlineStr">
        <is>
          <t>Do not leave a BOH-only tenant with an inaccessible sole door</t>
        </is>
      </c>
      <c r="I25" s="11" t="inlineStr">
        <is>
          <t>Verified</t>
        </is>
      </c>
    </row>
    <row r="26" ht="40" customHeight="1">
      <c r="A26" s="9" t="inlineStr">
        <is>
          <t>7. Entrances</t>
        </is>
      </c>
      <c r="B26" s="9" t="inlineStr">
        <is>
          <t>1105.1.7</t>
        </is>
      </c>
      <c r="C26" s="9" t="inlineStr">
        <is>
          <t>Tenant entrance</t>
        </is>
      </c>
      <c r="D26" s="9" t="inlineStr">
        <is>
          <t>At least one accessible entrance to each tenant in a facility</t>
        </is>
      </c>
      <c r="E26" s="9" t="inlineStr">
        <is>
          <t>Multi-tenant facility</t>
        </is>
      </c>
      <c r="F26" s="9" t="inlineStr">
        <is>
          <t>Self-service storage not required to be accessible</t>
        </is>
      </c>
      <c r="G26" s="11" t="inlineStr">
        <is>
          <t>Direct</t>
        </is>
      </c>
      <c r="H26" s="9" t="inlineStr">
        <is>
          <t>Give each office tenant an accessible entrance in addition to the 60% building count</t>
        </is>
      </c>
      <c r="I26" s="11" t="inlineStr">
        <is>
          <t>Verified</t>
        </is>
      </c>
    </row>
    <row r="27" ht="56" customHeight="1">
      <c r="A27" s="12" t="inlineStr">
        <is>
          <t>8. Parking, vans and passenger loading</t>
        </is>
      </c>
      <c r="B27" s="12" t="inlineStr">
        <is>
          <t>1106.2 / Table 1106.2</t>
        </is>
      </c>
      <c r="C27" s="12" t="inlineStr">
        <is>
          <t>Office accessible parking</t>
        </is>
      </c>
      <c r="D27" s="12" t="inlineStr">
        <is>
          <t>Where parking is provided, accessible spaces shall comply with Table 1106.2, calculated separately for each parking facility</t>
        </is>
      </c>
      <c r="E27" s="12" t="inlineStr">
        <is>
          <t>Parking serving Group B</t>
        </is>
      </c>
      <c r="F27" s="12" t="inlineStr">
        <is>
          <t>1106.3 residential items do not apply to Group B. Table is flattened OCR</t>
        </is>
      </c>
      <c r="G27" s="11" t="inlineStr">
        <is>
          <t>Direct</t>
        </is>
      </c>
      <c r="H27" s="12" t="inlineStr">
        <is>
          <t>Size office accessible stalls from the published Table 1106.2 after source check; do not use the R-2 2 percent rule</t>
        </is>
      </c>
      <c r="I27" s="16" t="inlineStr">
        <is>
          <t>Verify source</t>
        </is>
      </c>
    </row>
    <row r="28" ht="40" customHeight="1">
      <c r="A28" s="9" t="inlineStr">
        <is>
          <t>8. Parking, vans and passenger loading</t>
        </is>
      </c>
      <c r="B28" s="9" t="inlineStr">
        <is>
          <t>1106.6</t>
        </is>
      </c>
      <c r="C28" s="9" t="inlineStr">
        <is>
          <t>Van spaces</t>
        </is>
      </c>
      <c r="D28" s="9" t="inlineStr">
        <is>
          <t>For every six or fraction of six accessible parking spaces, at least one shall be van-accessible</t>
        </is>
      </c>
      <c r="E28" s="9" t="inlineStr">
        <is>
          <t>Accessible parking provided</t>
        </is>
      </c>
      <c r="F28" s="9" t="inlineStr">
        <is>
          <t>2100 mm van-height reduction is Group U private garages serving R-2 and R-3 only — not Group B</t>
        </is>
      </c>
      <c r="G28" s="11" t="inlineStr">
        <is>
          <t>Direct</t>
        </is>
      </c>
      <c r="H28" s="9" t="inlineStr">
        <is>
          <t>Provide 1-in-6 vans; do not use the residential garage height exception for office stalls</t>
        </is>
      </c>
      <c r="I28" s="11" t="inlineStr">
        <is>
          <t>Verified</t>
        </is>
      </c>
    </row>
    <row r="29" ht="40" customHeight="1">
      <c r="A29" s="12" t="inlineStr">
        <is>
          <t>8. Parking, vans and passenger loading</t>
        </is>
      </c>
      <c r="B29" s="12" t="inlineStr">
        <is>
          <t>1106.7 Ex. 1</t>
        </is>
      </c>
      <c r="C29" s="12" t="inlineStr">
        <is>
          <t>Van-space level</t>
        </is>
      </c>
      <c r="D29" s="12" t="inlineStr">
        <is>
          <t>In multilevel parking structures, van-accessible parking spaces are permitted on one level</t>
        </is>
      </c>
      <c r="E29" s="12" t="inlineStr">
        <is>
          <t>Multilevel parking</t>
        </is>
      </c>
      <c r="F29" s="12" t="inlineStr">
        <is>
          <t>Accessible spaces still dispersed; van-height millimetres are A117.1 (not imported)</t>
        </is>
      </c>
      <c r="G29" s="11" t="inlineStr">
        <is>
          <t>Direct</t>
        </is>
      </c>
      <c r="H29" s="12" t="inlineStr">
        <is>
          <t>Concentrate van stalls on the level that can provide the A117.1 van clearance</t>
        </is>
      </c>
      <c r="I29" s="11" t="inlineStr">
        <is>
          <t>Verified</t>
        </is>
      </c>
    </row>
    <row r="30" ht="40" customHeight="1">
      <c r="A30" s="9" t="inlineStr">
        <is>
          <t>8. Parking, vans and passenger loading</t>
        </is>
      </c>
      <c r="B30" s="9" t="inlineStr">
        <is>
          <t>1106.9.1</t>
        </is>
      </c>
      <c r="C30" s="9" t="inlineStr">
        <is>
          <t>Continuous loading zone</t>
        </is>
      </c>
      <c r="D30" s="9" t="inlineStr">
        <is>
          <t>One accessible passenger loading zone in every continuous 30 m maximum</t>
        </is>
      </c>
      <c r="E30" s="9" t="inlineStr">
        <is>
          <t>Passenger loading zones provided</t>
        </is>
      </c>
      <c r="F30" s="9" t="inlineStr">
        <is>
          <t>None stated</t>
        </is>
      </c>
      <c r="G30" s="13" t="inlineStr">
        <is>
          <t>Conditional</t>
        </is>
      </c>
      <c r="H30" s="9" t="inlineStr">
        <is>
          <t>If a kerbside drop-off exists, space accessible zones at ≤ 30 m</t>
        </is>
      </c>
      <c r="I30" s="11" t="inlineStr">
        <is>
          <t>Verified</t>
        </is>
      </c>
    </row>
    <row r="31" ht="56" customHeight="1">
      <c r="A31" s="12" t="inlineStr">
        <is>
          <t>8. Parking, vans and passenger loading</t>
        </is>
      </c>
      <c r="B31" s="12" t="inlineStr">
        <is>
          <t>1106.9.3</t>
        </is>
      </c>
      <c r="C31" s="12" t="inlineStr">
        <is>
          <t>Valet loading zone</t>
        </is>
      </c>
      <c r="D31" s="12" t="inlineStr">
        <is>
          <t>A passenger loading zone shall be provided at valet parking services</t>
        </is>
      </c>
      <c r="E31" s="12" t="inlineStr">
        <is>
          <t>Valet parking</t>
        </is>
      </c>
      <c r="F31" s="12" t="inlineStr">
        <is>
          <t>Valet does not delete accessible parking</t>
        </is>
      </c>
      <c r="G31" s="13" t="inlineStr">
        <is>
          <t>Conditional</t>
        </is>
      </c>
      <c r="H31" s="12" t="inlineStr">
        <is>
          <t>If valet is offered for the office/amenities, provide an accessible drop-off; still provide 1106 parking</t>
        </is>
      </c>
      <c r="I31" s="11" t="inlineStr">
        <is>
          <t>Verified</t>
        </is>
      </c>
    </row>
    <row r="32" ht="40" customHeight="1">
      <c r="A32" s="9" t="inlineStr">
        <is>
          <t>8. Parking, vans and passenger loading</t>
        </is>
      </c>
      <c r="B32" s="9" t="inlineStr">
        <is>
          <t>1112.1 Item 1</t>
        </is>
      </c>
      <c r="C32" s="9" t="inlineStr">
        <is>
          <t>Stall identification</t>
        </is>
      </c>
      <c r="D32" s="9" t="inlineStr">
        <is>
          <t>Accessible parking required by 1106.2 shall be identified by the ISA</t>
        </is>
      </c>
      <c r="E32" s="9" t="inlineStr">
        <is>
          <t>1106.2 accessible spaces</t>
        </is>
      </c>
      <c r="F32" s="9" t="inlineStr">
        <is>
          <t>Identification not required where total parking provided is four or less</t>
        </is>
      </c>
      <c r="G32" s="11" t="inlineStr">
        <is>
          <t>Direct</t>
        </is>
      </c>
      <c r="H32" s="9" t="inlineStr">
        <is>
          <t>Sign every required office accessible stall unless the entire facility has four or fewer spaces</t>
        </is>
      </c>
      <c r="I32" s="11" t="inlineStr">
        <is>
          <t>Verified</t>
        </is>
      </c>
    </row>
    <row r="33" ht="40" customHeight="1">
      <c r="A33" s="12" t="inlineStr">
        <is>
          <t>9. Electrical vehicle charging</t>
        </is>
      </c>
      <c r="B33" s="12" t="inlineStr">
        <is>
          <t>1107.2 Exception</t>
        </is>
      </c>
      <c r="C33" s="12" t="inlineStr">
        <is>
          <t>R-2 EV exemption (not Group B)</t>
        </is>
      </c>
      <c r="D33" s="12" t="inlineStr">
        <is>
          <t>EV charging stations provided to serve Groups R-2, R-3 and R-4 are not required to comply with 1107.2</t>
        </is>
      </c>
      <c r="E33" s="12" t="inlineStr">
        <is>
          <t>EV serving those occupancies</t>
        </is>
      </c>
      <c r="F33" s="12" t="inlineStr">
        <is>
          <t>Group B is not listed</t>
        </is>
      </c>
      <c r="G33" s="11" t="inlineStr">
        <is>
          <t>Direct</t>
        </is>
      </c>
      <c r="H33" s="12" t="inlineStr">
        <is>
          <t>Do not apply the residential EV exemption to office or public chargers</t>
        </is>
      </c>
      <c r="I33" s="11" t="inlineStr">
        <is>
          <t>Verified</t>
        </is>
      </c>
    </row>
    <row r="34" ht="56" customHeight="1">
      <c r="A34" s="9" t="inlineStr">
        <is>
          <t>9. Electrical vehicle charging</t>
        </is>
      </c>
      <c r="B34" s="9" t="inlineStr">
        <is>
          <t>1107.2.1</t>
        </is>
      </c>
      <c r="C34" s="9" t="inlineStr">
        <is>
          <t>Accessible EV count</t>
        </is>
      </c>
      <c r="D34" s="9" t="inlineStr">
        <is>
          <t>Not less than 5 percent of vehicle spaces served by EV systems, but not fewer than one of each type, shall be accessible</t>
        </is>
      </c>
      <c r="E34" s="9" t="inlineStr">
        <is>
          <t>EV systems not covered by the R-2/R-3/R-4 serving exception</t>
        </is>
      </c>
      <c r="F34" s="9" t="inlineStr">
        <is>
          <t>None stated beyond 1107.2</t>
        </is>
      </c>
      <c r="G34" s="13" t="inlineStr">
        <is>
          <t>Conditional</t>
        </is>
      </c>
      <c r="H34" s="9" t="inlineStr">
        <is>
          <t>If office or podium/public chargers exist, reserve 5% (≥ 1 of each charger type)</t>
        </is>
      </c>
      <c r="I34" s="11" t="inlineStr">
        <is>
          <t>Verified</t>
        </is>
      </c>
    </row>
    <row r="35" ht="40" customHeight="1">
      <c r="A35" s="12" t="inlineStr">
        <is>
          <t>9. Electrical vehicle charging</t>
        </is>
      </c>
      <c r="B35" s="12" t="inlineStr">
        <is>
          <t>1107.2.2</t>
        </is>
      </c>
      <c r="C35" s="12" t="inlineStr">
        <is>
          <t>Accessible EV stall size</t>
        </is>
      </c>
      <c r="D35" s="12" t="inlineStr">
        <is>
          <t>3300 mm minimum vehicle-space width with adjoining access aisle 1500 mm minimum</t>
        </is>
      </c>
      <c r="E35" s="12" t="inlineStr">
        <is>
          <t>Accessible EV spaces required by 1107.2.1</t>
        </is>
      </c>
      <c r="F35" s="12" t="inlineStr">
        <is>
          <t>None stated</t>
        </is>
      </c>
      <c r="G35" s="13" t="inlineStr">
        <is>
          <t>Conditional</t>
        </is>
      </c>
      <c r="H35" s="12" t="inlineStr">
        <is>
          <t>Do not substitute a narrower A117.1 van option; this section specifies 3300 + 1500</t>
        </is>
      </c>
      <c r="I35" s="11" t="inlineStr">
        <is>
          <t>Verified</t>
        </is>
      </c>
    </row>
    <row r="36" ht="72" customHeight="1">
      <c r="A36" s="9" t="inlineStr">
        <is>
          <t>10. Common toilets, kitchens, drinking fountains, storage and lifts</t>
        </is>
      </c>
      <c r="B36" s="9" t="inlineStr">
        <is>
          <t>1110.2</t>
        </is>
      </c>
      <c r="C36" s="9" t="inlineStr">
        <is>
          <t>Toilet/bathing rooms</t>
        </is>
      </c>
      <c r="D36" s="9" t="inlineStr">
        <is>
          <t>Each toilet room and bathing room shall be accessible; at least one of each type of fixture/element/control/dispenser accessible</t>
        </is>
      </c>
      <c r="E36" s="9" t="inlineStr">
        <is>
          <t>Toilet/bathing rooms</t>
        </is>
      </c>
      <c r="F36" s="9" t="inlineStr">
        <is>
          <t>Ex. 1: private-office single-occupant rooms may use A117.1 adaptable exceptions. Ex. 3: clustered single-user rooms ≥ 50% (≥ 1 of each use). Do not locate the only toilets on a non-accessible floor</t>
        </is>
      </c>
      <c r="G36" s="11" t="inlineStr">
        <is>
          <t>Direct</t>
        </is>
      </c>
      <c r="H36" s="9" t="inlineStr">
        <is>
          <t>Make office-floor, lobby and amenity toilets accessible; a private en-suite in an individual office may use the adaptable exception</t>
        </is>
      </c>
      <c r="I36" s="11" t="inlineStr">
        <is>
          <t>Verified</t>
        </is>
      </c>
    </row>
    <row r="37" ht="56" customHeight="1">
      <c r="A37" s="12" t="inlineStr">
        <is>
          <t>10. Common toilets, kitchens, drinking fountains, storage and lifts</t>
        </is>
      </c>
      <c r="B37" s="12" t="inlineStr">
        <is>
          <t>1110.2.1</t>
        </is>
      </c>
      <c r="C37" s="12" t="inlineStr">
        <is>
          <t>Family/assisted-use toilet</t>
        </is>
      </c>
      <c r="D37" s="12" t="inlineStr">
        <is>
          <t>Required in assembly and mercantile where aggregate male+female water closets ≥ 6; travel ≤ 150 m and ≤ one story from separate-sex rooms</t>
        </is>
      </c>
      <c r="E37" s="12" t="inlineStr">
        <is>
          <t>Assembly/mercantile fixture count</t>
        </is>
      </c>
      <c r="F37" s="12" t="inlineStr">
        <is>
          <t>Mixed occupancy: count only A/M water closets. Family bathing room required where separate-sex bathing rooms are provided in recreational facilities</t>
        </is>
      </c>
      <c r="G37" s="13" t="inlineStr">
        <is>
          <t>Conditional</t>
        </is>
      </c>
      <c r="H37" s="12" t="inlineStr">
        <is>
          <t>If amenity F&amp;B/assembly/retail hits six WCs, add a family room on an accessible route</t>
        </is>
      </c>
      <c r="I37" s="11" t="inlineStr">
        <is>
          <t>Verified</t>
        </is>
      </c>
    </row>
    <row r="38" ht="56" customHeight="1">
      <c r="A38" s="9" t="inlineStr">
        <is>
          <t>10. Common toilets, kitchens, drinking fountains, storage and lifts</t>
        </is>
      </c>
      <c r="B38" s="9" t="inlineStr">
        <is>
          <t>1110.2.4</t>
        </is>
      </c>
      <c r="C38" s="9" t="inlineStr">
        <is>
          <t>Compartments</t>
        </is>
      </c>
      <c r="D38" s="9" t="inlineStr">
        <is>
          <t>≥ 5% of compartments wheelchair-accessible; if compartments+urinals ≥ 6, ≥ 5% ambulatory-accessible in addition</t>
        </is>
      </c>
      <c r="E38" s="9" t="inlineStr">
        <is>
          <t>Multi-compartment toilets</t>
        </is>
      </c>
      <c r="F38" s="9" t="inlineStr">
        <is>
          <t>None stated for office toilets</t>
        </is>
      </c>
      <c r="G38" s="11" t="inlineStr">
        <is>
          <t>Direct</t>
        </is>
      </c>
      <c r="H38" s="9" t="inlineStr">
        <is>
          <t>Size typical office toilets with a wheelchair stall; add ambulatory stall when compartments+urinals ≥ 6</t>
        </is>
      </c>
      <c r="I38" s="11" t="inlineStr">
        <is>
          <t>Verified</t>
        </is>
      </c>
    </row>
    <row r="39" ht="56" customHeight="1">
      <c r="A39" s="12" t="inlineStr">
        <is>
          <t>10. Common toilets, kitchens, drinking fountains, storage and lifts</t>
        </is>
      </c>
      <c r="B39" s="12" t="inlineStr">
        <is>
          <t>1110.2.5</t>
        </is>
      </c>
      <c r="C39" s="12" t="inlineStr">
        <is>
          <t>Lavatories</t>
        </is>
      </c>
      <c r="D39" s="12" t="inlineStr">
        <is>
          <t>≥ 5% (≥ 1) accessible; extra accessible lavatory if the only one is inside the accessible stall; ≥ 6 lavatories → one enhanced-reach</t>
        </is>
      </c>
      <c r="E39" s="12" t="inlineStr">
        <is>
          <t>Lavatories provided</t>
        </is>
      </c>
      <c r="F39" s="12" t="inlineStr">
        <is>
          <t>Enhanced reach per A117.1 (not imported)</t>
        </is>
      </c>
      <c r="G39" s="11" t="inlineStr">
        <is>
          <t>Direct</t>
        </is>
      </c>
      <c r="H39" s="12" t="inlineStr">
        <is>
          <t>Do not hide the only accessible lavatory inside the accessible stall</t>
        </is>
      </c>
      <c r="I39" s="11" t="inlineStr">
        <is>
          <t>Verified</t>
        </is>
      </c>
    </row>
    <row r="40" ht="40" customHeight="1">
      <c r="A40" s="9" t="inlineStr">
        <is>
          <t>10. Common toilets, kitchens, drinking fountains, storage and lifts</t>
        </is>
      </c>
      <c r="B40" s="9" t="inlineStr">
        <is>
          <t>1110.3</t>
        </is>
      </c>
      <c r="C40" s="9" t="inlineStr">
        <is>
          <t>Sinks</t>
        </is>
      </c>
      <c r="D40" s="9" t="inlineStr">
        <is>
          <t>≥ 5% (≥ 1) of sinks in accessible spaces shall be accessible</t>
        </is>
      </c>
      <c r="E40" s="9" t="inlineStr">
        <is>
          <t>Sinks provided</t>
        </is>
      </c>
      <c r="F40" s="9" t="inlineStr">
        <is>
          <t>Mop or service sinks not required to be accessible</t>
        </is>
      </c>
      <c r="G40" s="13" t="inlineStr">
        <is>
          <t>Conditional</t>
        </is>
      </c>
      <c r="H40" s="9" t="inlineStr">
        <is>
          <t>Make pantry/tea-point sinks accessible; exempt janitor sinks</t>
        </is>
      </c>
      <c r="I40" s="11" t="inlineStr">
        <is>
          <t>Verified</t>
        </is>
      </c>
    </row>
    <row r="41" ht="56" customHeight="1">
      <c r="A41" s="12" t="inlineStr">
        <is>
          <t>10. Common toilets, kitchens, drinking fountains, storage and lifts</t>
        </is>
      </c>
      <c r="B41" s="12" t="inlineStr">
        <is>
          <t>1110.4</t>
        </is>
      </c>
      <c r="C41" s="12" t="inlineStr">
        <is>
          <t>Kitchens and kitchenettes</t>
        </is>
      </c>
      <c r="D41" s="12" t="inlineStr">
        <is>
          <t>Kitchens and kitchenettes in accessible spaces or rooms shall be accessible</t>
        </is>
      </c>
      <c r="E41" s="12" t="inlineStr">
        <is>
          <t>Common kitchens / kitchenettes</t>
        </is>
      </c>
      <c r="F41" s="12" t="inlineStr">
        <is>
          <t>Employee-work-area commercial kitchens follow 1103.2.2 / 1104.3.1; break-room kitchenettes are not employee work areas</t>
        </is>
      </c>
      <c r="G41" s="11" t="inlineStr">
        <is>
          <t>Direct</t>
        </is>
      </c>
      <c r="H41" s="12" t="inlineStr">
        <is>
          <t>Detail office pantries, amenity kitchens and staff break kitchenettes as accessible</t>
        </is>
      </c>
      <c r="I41" s="11" t="inlineStr">
        <is>
          <t>Verified</t>
        </is>
      </c>
    </row>
    <row r="42" ht="40" customHeight="1">
      <c r="A42" s="9" t="inlineStr">
        <is>
          <t>10. Common toilets, kitchens, drinking fountains, storage and lifts</t>
        </is>
      </c>
      <c r="B42" s="9" t="inlineStr">
        <is>
          <t>1110.5.1</t>
        </is>
      </c>
      <c r="C42" s="9" t="inlineStr">
        <is>
          <t>Drinking fountains</t>
        </is>
      </c>
      <c r="D42" s="9" t="inlineStr">
        <is>
          <t>No fewer than two: one wheelchair, one standing (or dual-spout substitute)</t>
        </is>
      </c>
      <c r="E42" s="9" t="inlineStr">
        <is>
          <t>Drinking fountains provided on a floor/site/secured area</t>
        </is>
      </c>
      <c r="F42" s="9" t="inlineStr">
        <is>
          <t>Children’s standing spout 760 mm minimum</t>
        </is>
      </c>
      <c r="G42" s="13" t="inlineStr">
        <is>
          <t>Conditional</t>
        </is>
      </c>
      <c r="H42" s="9" t="inlineStr">
        <is>
          <t>If fountains are provided, install hi-lo; do not import SBC 701 fixture counts</t>
        </is>
      </c>
      <c r="I42" s="11" t="inlineStr">
        <is>
          <t>Verified</t>
        </is>
      </c>
    </row>
    <row r="43" ht="40" customHeight="1">
      <c r="A43" s="12" t="inlineStr">
        <is>
          <t>10. Common toilets, kitchens, drinking fountains, storage and lifts</t>
        </is>
      </c>
      <c r="B43" s="12" t="inlineStr">
        <is>
          <t>1110.10</t>
        </is>
      </c>
      <c r="C43" s="12" t="inlineStr">
        <is>
          <t>Built-in storage</t>
        </is>
      </c>
      <c r="D43" s="12" t="inlineStr">
        <is>
          <t>≥ 5% (≥ 1) of each type of fixed/built-in storage in required accessible spaces shall be accessible</t>
        </is>
      </c>
      <c r="E43" s="12" t="inlineStr">
        <is>
          <t>Cabinets, lockers, closets, drawers</t>
        </is>
      </c>
      <c r="F43" s="12" t="inlineStr">
        <is>
          <t>Employee-workstation storage follows 1103.2.2</t>
        </is>
      </c>
      <c r="G43" s="11" t="inlineStr">
        <is>
          <t>Direct</t>
        </is>
      </c>
      <c r="H43" s="12" t="inlineStr">
        <is>
          <t>Make ≥ 5% of each locker/coat-hook/shelf type accessible in common office and amenity spaces</t>
        </is>
      </c>
      <c r="I43" s="11" t="inlineStr">
        <is>
          <t>Verified</t>
        </is>
      </c>
    </row>
    <row r="44" ht="56" customHeight="1">
      <c r="A44" s="9" t="inlineStr">
        <is>
          <t>10. Common toilets, kitchens, drinking fountains, storage and lifts</t>
        </is>
      </c>
      <c r="B44" s="9" t="inlineStr">
        <is>
          <t>1110.8</t>
        </is>
      </c>
      <c r="C44" s="9" t="inlineStr">
        <is>
          <t>Elevators</t>
        </is>
      </c>
      <c r="D44" s="9" t="inlineStr">
        <is>
          <t>Passenger elevators on an accessible route shall be accessible and comply with Chapter 30</t>
        </is>
      </c>
      <c r="E44" s="9" t="inlineStr">
        <is>
          <t>Passenger elevators on an accessible route</t>
        </is>
      </c>
      <c r="F44" s="9" t="inlineStr">
        <is>
          <t>Freight/construction elevators not this section</t>
        </is>
      </c>
      <c r="G44" s="15" t="inlineStr">
        <is>
          <t>External verification</t>
        </is>
      </c>
      <c r="H44" s="9" t="inlineStr">
        <is>
          <t>All passenger cars on the accessible route are accessible; stretcher/FSAE sizes live in Chapter 30 / 403, not here</t>
        </is>
      </c>
      <c r="I44" s="11" t="inlineStr">
        <is>
          <t>Verified</t>
        </is>
      </c>
    </row>
    <row r="45" ht="56" customHeight="1">
      <c r="A45" s="12" t="inlineStr">
        <is>
          <t>10. Common toilets, kitchens, drinking fountains, storage and lifts</t>
        </is>
      </c>
      <c r="B45" s="12" t="inlineStr">
        <is>
          <t>1110.9 Item 3</t>
        </is>
      </c>
      <c r="C45" s="12" t="inlineStr">
        <is>
          <t>Platform lift to small non-public space</t>
        </is>
      </c>
      <c r="D45" s="12" t="inlineStr">
        <is>
          <t>Platform lifts permitted on a required accessible route to spaces not open to the public with occupant load not more than five</t>
        </is>
      </c>
      <c r="E45" s="12" t="inlineStr">
        <is>
          <t>New construction</t>
        </is>
      </c>
      <c r="F45" s="12" t="inlineStr">
        <is>
          <t>ASME A18.1 (not imported)</t>
        </is>
      </c>
      <c r="G45" s="13" t="inlineStr">
        <is>
          <t>Conditional</t>
        </is>
      </c>
      <c r="H45" s="12" t="inlineStr">
        <is>
          <t>A lift may serve a small non-public mezzanine (e.g. projection); it does not replace building elevators</t>
        </is>
      </c>
      <c r="I45" s="11" t="inlineStr">
        <is>
          <t>Verified</t>
        </is>
      </c>
    </row>
    <row r="46" ht="56" customHeight="1">
      <c r="A46" s="9" t="inlineStr">
        <is>
          <t>11. Work surfaces, service facilities and lockers</t>
        </is>
      </c>
      <c r="B46" s="9" t="inlineStr">
        <is>
          <t>1110.12</t>
        </is>
      </c>
      <c r="C46" s="9" t="inlineStr">
        <is>
          <t>Tables and work surfaces</t>
        </is>
      </c>
      <c r="D46" s="9" t="inlineStr">
        <is>
          <t>≥ 5% (≥ 1) of seating and standing spaces at fixed/built-in tables, counters or work surfaces in accessible spaces shall be accessible</t>
        </is>
      </c>
      <c r="E46" s="9" t="inlineStr">
        <is>
          <t>Fixed/built-in tables or counters</t>
        </is>
      </c>
      <c r="F46" s="9" t="inlineStr">
        <is>
          <t>Check-writing surfaces at non-accessible check-out aisles; individual workstations follow 1103.2.2</t>
        </is>
      </c>
      <c r="G46" s="11" t="inlineStr">
        <is>
          <t>Direct</t>
        </is>
      </c>
      <c r="H46" s="9" t="inlineStr">
        <is>
          <t>Provide wheelchair spaces at ≥ 5% of meeting-room, lounge and amenity built-in tables; disperse them (1110.12.1)</t>
        </is>
      </c>
      <c r="I46" s="11" t="inlineStr">
        <is>
          <t>Verified</t>
        </is>
      </c>
    </row>
    <row r="47" ht="56" customHeight="1">
      <c r="A47" s="12" t="inlineStr">
        <is>
          <t>11. Work surfaces, service facilities and lockers</t>
        </is>
      </c>
      <c r="B47" s="12" t="inlineStr">
        <is>
          <t>1110.13.2</t>
        </is>
      </c>
      <c r="C47" s="12" t="inlineStr">
        <is>
          <t>Sales and service counters</t>
        </is>
      </c>
      <c r="D47" s="12" t="inlineStr">
        <is>
          <t>At least one of each type of sales or service counter/window shall be accessible; disperse if the counters are dispersed</t>
        </is>
      </c>
      <c r="E47" s="12" t="inlineStr">
        <is>
          <t>Reception, F&amp;B, retail counters</t>
        </is>
      </c>
      <c r="F47" s="12" t="inlineStr">
        <is>
          <t>Not a check-out-aisle table</t>
        </is>
      </c>
      <c r="G47" s="11" t="inlineStr">
        <is>
          <t>Direct</t>
        </is>
      </c>
      <c r="H47" s="12" t="inlineStr">
        <is>
          <t>Lower at least one reception desk and one of each amenity/retail service counter type</t>
        </is>
      </c>
      <c r="I47" s="11" t="inlineStr">
        <is>
          <t>Verified</t>
        </is>
      </c>
    </row>
    <row r="48" ht="40" customHeight="1">
      <c r="A48" s="9" t="inlineStr">
        <is>
          <t>11. Work surfaces, service facilities and lockers</t>
        </is>
      </c>
      <c r="B48" s="9" t="inlineStr">
        <is>
          <t>1110.13.1 / Table 1110.13.1</t>
        </is>
      </c>
      <c r="C48" s="9" t="inlineStr">
        <is>
          <t>Check-out aisles</t>
        </is>
      </c>
      <c r="D48" s="9" t="inlineStr">
        <is>
          <t>Accessible check-out aisles per Table 1110.13.1 for each function; disperse if aisles are dispersed</t>
        </is>
      </c>
      <c r="E48" s="9" t="inlineStr">
        <is>
          <t>Check-out aisles provided</t>
        </is>
      </c>
      <c r="F48" s="9" t="inlineStr">
        <is>
          <t>Public-use area &lt; 465 m²: not more than one accessible aisle required. Table is flattened OCR</t>
        </is>
      </c>
      <c r="G48" s="13" t="inlineStr">
        <is>
          <t>Conditional</t>
        </is>
      </c>
      <c r="H48" s="9" t="inlineStr">
        <is>
          <t>If amenity retail uses check-out lanes, apply the published table after source check</t>
        </is>
      </c>
      <c r="I48" s="16" t="inlineStr">
        <is>
          <t>Verify source</t>
        </is>
      </c>
    </row>
    <row r="49" ht="56" customHeight="1">
      <c r="A49" s="12" t="inlineStr">
        <is>
          <t>11. Work surfaces, service facilities and lockers</t>
        </is>
      </c>
      <c r="B49" s="12" t="inlineStr">
        <is>
          <t>1110.13.3</t>
        </is>
      </c>
      <c r="C49" s="12" t="inlineStr">
        <is>
          <t>Food-service lines</t>
        </is>
      </c>
      <c r="D49" s="12" t="inlineStr">
        <is>
          <t>Food service lines shall be accessible; ≥ 50% (≥ 1) of each type of self-service shelf accessible</t>
        </is>
      </c>
      <c r="E49" s="12" t="inlineStr">
        <is>
          <t>Food-service lines provided</t>
        </is>
      </c>
      <c r="F49" s="12" t="inlineStr">
        <is>
          <t>None stated</t>
        </is>
      </c>
      <c r="G49" s="13" t="inlineStr">
        <is>
          <t>Conditional</t>
        </is>
      </c>
      <c r="H49" s="12" t="inlineStr">
        <is>
          <t>If a cafeteria or buffet line exists, put the line and ≥ 50% of each shelf type on the accessible route</t>
        </is>
      </c>
      <c r="I49" s="11" t="inlineStr">
        <is>
          <t>Verified</t>
        </is>
      </c>
    </row>
    <row r="50" ht="40" customHeight="1">
      <c r="A50" s="9" t="inlineStr">
        <is>
          <t>11. Work surfaces, service facilities and lockers</t>
        </is>
      </c>
      <c r="B50" s="9" t="inlineStr">
        <is>
          <t>1110.13.4</t>
        </is>
      </c>
      <c r="C50" s="9" t="inlineStr">
        <is>
          <t>Queue lines</t>
        </is>
      </c>
      <c r="D50" s="9" t="inlineStr">
        <is>
          <t>Queue and waiting lines serving accessible counters or check-out aisles shall be accessible</t>
        </is>
      </c>
      <c r="E50" s="9" t="inlineStr">
        <is>
          <t>Queues at those counters</t>
        </is>
      </c>
      <c r="F50" s="9" t="inlineStr">
        <is>
          <t>None stated</t>
        </is>
      </c>
      <c r="G50" s="13" t="inlineStr">
        <is>
          <t>Conditional</t>
        </is>
      </c>
      <c r="H50" s="9" t="inlineStr">
        <is>
          <t>Keep reception and F&amp;B queues on an accessible route; do not create a separate “accessible” line</t>
        </is>
      </c>
      <c r="I50" s="11" t="inlineStr">
        <is>
          <t>Verified</t>
        </is>
      </c>
    </row>
    <row r="51" ht="40" customHeight="1">
      <c r="A51" s="12" t="inlineStr">
        <is>
          <t>11. Work surfaces, service facilities and lockers</t>
        </is>
      </c>
      <c r="B51" s="12" t="inlineStr">
        <is>
          <t>1110.14</t>
        </is>
      </c>
      <c r="C51" s="12" t="inlineStr">
        <is>
          <t>Locker / fitting rooms</t>
        </is>
      </c>
      <c r="D51" s="12" t="inlineStr">
        <is>
          <t>≥ 5% (≥ 1) of each type of use in each cluster shall be accessible</t>
        </is>
      </c>
      <c r="E51" s="12" t="inlineStr">
        <is>
          <t>Dressing, fitting or locker rooms provided</t>
        </is>
      </c>
      <c r="F51" s="12" t="inlineStr">
        <is>
          <t>None stated</t>
        </is>
      </c>
      <c r="G51" s="13" t="inlineStr">
        <is>
          <t>Conditional</t>
        </is>
      </c>
      <c r="H51" s="12" t="inlineStr">
        <is>
          <t>If gym/spa lockers exist, make ≥ 5% of each cluster accessible</t>
        </is>
      </c>
      <c r="I51" s="11" t="inlineStr">
        <is>
          <t>Verified</t>
        </is>
      </c>
    </row>
    <row r="52" ht="72" customHeight="1">
      <c r="A52" s="9" t="inlineStr">
        <is>
          <t>11. Work surfaces, service facilities and lockers</t>
        </is>
      </c>
      <c r="B52" s="9" t="inlineStr">
        <is>
          <t>1110.15</t>
        </is>
      </c>
      <c r="C52" s="9" t="inlineStr">
        <is>
          <t>Operable parts</t>
        </is>
      </c>
      <c r="D52" s="9" t="inlineStr">
        <is>
          <t>Controls, operating mechanisms and hardware intended for occupant operation in accessible spaces, along accessible routes or as parts of accessible elements shall be accessible</t>
        </is>
      </c>
      <c r="E52" s="9" t="inlineStr">
        <is>
          <t>Those controls</t>
        </is>
      </c>
      <c r="F52" s="9" t="inlineStr">
        <is>
          <t>Service-only parts; pool-barrier gates per 1010.2.3; A117.1 operable-part exceptions</t>
        </is>
      </c>
      <c r="G52" s="11" t="inlineStr">
        <is>
          <t>Direct</t>
        </is>
      </c>
      <c r="H52" s="9" t="inlineStr">
        <is>
          <t>Keep light switches, outlets, thermostats and amenity controls on the accessible package</t>
        </is>
      </c>
      <c r="I52" s="11" t="inlineStr">
        <is>
          <t>Verified</t>
        </is>
      </c>
    </row>
    <row r="53" ht="56" customHeight="1">
      <c r="A53" s="12" t="inlineStr">
        <is>
          <t>12. Recreational facilities</t>
        </is>
      </c>
      <c r="B53" s="12" t="inlineStr">
        <is>
          <t>1111.3</t>
        </is>
      </c>
      <c r="C53" s="12" t="inlineStr">
        <is>
          <t>Recreation other than R-2/R-3/R-4</t>
        </is>
      </c>
      <c r="D53" s="12" t="inlineStr">
        <is>
          <t>Recreational facilities not falling within 1111.2 shall be accessible</t>
        </is>
      </c>
      <c r="E53" s="12" t="inlineStr">
        <is>
          <t>Office, hotel and other occupancies outside 1111.2</t>
        </is>
      </c>
      <c r="F53" s="12" t="inlineStr">
        <is>
          <t>Shared facilities that also serve R-2 Type A/B still cannot drop below 1111.3 where they serve Group B</t>
        </is>
      </c>
      <c r="G53" s="11" t="inlineStr">
        <is>
          <t>Direct</t>
        </is>
      </c>
      <c r="H53" s="12" t="inlineStr">
        <is>
          <t>Make every office-serving gym, pool, court and spa accessible — do not use the R-2 25% rule</t>
        </is>
      </c>
      <c r="I53" s="11" t="inlineStr">
        <is>
          <t>Verified</t>
        </is>
      </c>
    </row>
    <row r="54" ht="56" customHeight="1">
      <c r="A54" s="9" t="inlineStr">
        <is>
          <t>12. Recreational facilities</t>
        </is>
      </c>
      <c r="B54" s="9" t="inlineStr">
        <is>
          <t>1111.4.14</t>
        </is>
      </c>
      <c r="C54" s="9" t="inlineStr">
        <is>
          <t>Pool water entry</t>
        </is>
      </c>
      <c r="D54" s="9" t="inlineStr">
        <is>
          <t>Swimming pools, wading pools, cold baths, hot tubs and spas shall be accessible and on an accessible route</t>
        </is>
      </c>
      <c r="E54" s="9" t="inlineStr">
        <is>
          <t>Those water features provided</t>
        </is>
      </c>
      <c r="F54" s="9" t="inlineStr">
        <is>
          <t>Ex. 1 catch-pool/slide terminus. Ex. 2 clustered spas 5% (≥ 1 of each type). Ex. 3 water-entry waiver is only for 1111.2.2 / 1111.2.3 — not 1111.3</t>
        </is>
      </c>
      <c r="G54" s="13" t="inlineStr">
        <is>
          <t>Conditional</t>
        </is>
      </c>
      <c r="H54" s="9" t="inlineStr">
        <is>
          <t>Provide an accessible route to and into office/amenity pools/spas; do not use the Type A/B water-entry waiver</t>
        </is>
      </c>
      <c r="I54" s="11" t="inlineStr">
        <is>
          <t>Verified</t>
        </is>
      </c>
    </row>
    <row r="55" ht="40" customHeight="1">
      <c r="A55" s="12" t="inlineStr">
        <is>
          <t>12. Recreational facilities</t>
        </is>
      </c>
      <c r="B55" s="12" t="inlineStr">
        <is>
          <t>1111.4.10</t>
        </is>
      </c>
      <c r="C55" s="12" t="inlineStr">
        <is>
          <t>Exercise machines</t>
        </is>
      </c>
      <c r="D55" s="12" t="inlineStr">
        <is>
          <t>At least one of each type of exercise machine and equipment shall be on an accessible route</t>
        </is>
      </c>
      <c r="E55" s="12" t="inlineStr">
        <is>
          <t>Exercise machines provided</t>
        </is>
      </c>
      <c r="F55" s="12" t="inlineStr">
        <is>
          <t>Operable-part heights are A117.1 (not imported)</t>
        </is>
      </c>
      <c r="G55" s="13" t="inlineStr">
        <is>
          <t>Conditional</t>
        </is>
      </c>
      <c r="H55" s="12" t="inlineStr">
        <is>
          <t>Put at least one of each gym machine type on the accessible route</t>
        </is>
      </c>
      <c r="I55" s="11" t="inlineStr">
        <is>
          <t>Verified</t>
        </is>
      </c>
    </row>
    <row r="56" ht="40" customHeight="1">
      <c r="A56" s="9" t="inlineStr">
        <is>
          <t>12. Recreational facilities</t>
        </is>
      </c>
      <c r="B56" s="9" t="inlineStr">
        <is>
          <t>1111.4.2</t>
        </is>
      </c>
      <c r="C56" s="9" t="inlineStr">
        <is>
          <t>Player seating</t>
        </is>
      </c>
      <c r="D56" s="9" t="inlineStr">
        <is>
          <t>At least one wheelchair space in team/player seating serving areas of sport activity</t>
        </is>
      </c>
      <c r="E56" s="9" t="inlineStr">
        <is>
          <t>Team/player seating provided</t>
        </is>
      </c>
      <c r="F56" s="9" t="inlineStr">
        <is>
          <t>Bowling-lane exception</t>
        </is>
      </c>
      <c r="G56" s="13" t="inlineStr">
        <is>
          <t>Conditional</t>
        </is>
      </c>
      <c r="H56" s="9" t="inlineStr">
        <is>
          <t>If a court has player benches, provide one wheelchair space</t>
        </is>
      </c>
      <c r="I56" s="11" t="inlineStr">
        <is>
          <t>Verified</t>
        </is>
      </c>
    </row>
    <row r="57" ht="40" customHeight="1">
      <c r="A57" s="12" t="inlineStr">
        <is>
          <t>12. Recreational facilities</t>
        </is>
      </c>
      <c r="B57" s="12" t="inlineStr">
        <is>
          <t>1111.4.4</t>
        </is>
      </c>
      <c r="C57" s="12" t="inlineStr">
        <is>
          <t>Court sides</t>
        </is>
      </c>
      <c r="D57" s="12" t="inlineStr">
        <is>
          <t>At least one accessible route shall directly connect both sides of the court</t>
        </is>
      </c>
      <c r="E57" s="12" t="inlineStr">
        <is>
          <t>Court sports</t>
        </is>
      </c>
      <c r="F57" s="12" t="inlineStr">
        <is>
          <t>None stated</t>
        </is>
      </c>
      <c r="G57" s="13" t="inlineStr">
        <is>
          <t>Conditional</t>
        </is>
      </c>
      <c r="H57" s="12" t="inlineStr">
        <is>
          <t>If tennis/padel/basketball courts exist, connect both sides without leaving the court area</t>
        </is>
      </c>
      <c r="I57" s="11" t="inlineStr">
        <is>
          <t>Verified</t>
        </is>
      </c>
    </row>
    <row r="58" ht="40" customHeight="1">
      <c r="A58" s="9" t="inlineStr">
        <is>
          <t>12. Recreational facilities</t>
        </is>
      </c>
      <c r="B58" s="9" t="inlineStr">
        <is>
          <t>1110.7</t>
        </is>
      </c>
      <c r="C58" s="9" t="inlineStr">
        <is>
          <t>Saunas and steam rooms</t>
        </is>
      </c>
      <c r="D58" s="9" t="inlineStr">
        <is>
          <t>Where provided, saunas and steam rooms shall be accessible</t>
        </is>
      </c>
      <c r="E58" s="9" t="inlineStr">
        <is>
          <t>Those rooms provided</t>
        </is>
      </c>
      <c r="F58" s="9" t="inlineStr">
        <is>
          <t>Clustered: ≥ 5% (≥ 1) of each type in each cluster</t>
        </is>
      </c>
      <c r="G58" s="13" t="inlineStr">
        <is>
          <t>Conditional</t>
        </is>
      </c>
      <c r="H58" s="9" t="inlineStr">
        <is>
          <t>If spa saunas exist, make them accessible (or 5% of each clustered type)</t>
        </is>
      </c>
      <c r="I58" s="11" t="inlineStr">
        <is>
          <t>Verified</t>
        </is>
      </c>
    </row>
    <row r="59" ht="56" customHeight="1">
      <c r="A59" s="12" t="inlineStr">
        <is>
          <t>13. Amenity assembly and dining</t>
        </is>
      </c>
      <c r="B59" s="12" t="inlineStr">
        <is>
          <t>Table 1109.2.2.1</t>
        </is>
      </c>
      <c r="C59" s="12" t="inlineStr">
        <is>
          <t>Wheelchair spaces</t>
        </is>
      </c>
      <c r="D59" s="12" t="inlineStr">
        <is>
          <t>Flattened OCR table; no reconstructed seating-capacity cell is adopted</t>
        </is>
      </c>
      <c r="E59" s="12" t="inlineStr">
        <is>
          <t>Assembly with fixed seating</t>
        </is>
      </c>
      <c r="F59" s="12" t="inlineStr">
        <is>
          <t>Companion seat per 1109.2.3 (one per wheelchair space); 5% designated aisle seats</t>
        </is>
      </c>
      <c r="G59" s="13" t="inlineStr">
        <is>
          <t>Conditional</t>
        </is>
      </c>
      <c r="H59" s="12" t="inlineStr">
        <is>
          <t>If an auditorium, cinema or lecture room has fixed seats, apply the published table after source check</t>
        </is>
      </c>
      <c r="I59" s="16" t="inlineStr">
        <is>
          <t>Verify source</t>
        </is>
      </c>
    </row>
    <row r="60" ht="40" customHeight="1">
      <c r="A60" s="9" t="inlineStr">
        <is>
          <t>13. Amenity assembly and dining</t>
        </is>
      </c>
      <c r="B60" s="9" t="inlineStr">
        <is>
          <t>1109.2.5</t>
        </is>
      </c>
      <c r="C60" s="9" t="inlineStr">
        <is>
          <t>Designated aisle seats</t>
        </is>
      </c>
      <c r="D60" s="9" t="inlineStr">
        <is>
          <t>≥ 5% (≥ 1) of aisle seats, closest to accessible routes</t>
        </is>
      </c>
      <c r="E60" s="9" t="inlineStr">
        <is>
          <t>Aisle seats provided</t>
        </is>
      </c>
      <c r="F60" s="9" t="inlineStr">
        <is>
          <t>Not required in team/player seating</t>
        </is>
      </c>
      <c r="G60" s="13" t="inlineStr">
        <is>
          <t>Conditional</t>
        </is>
      </c>
      <c r="H60" s="9" t="inlineStr">
        <is>
          <t>Mark aisle seats nearest the accessible route in amenity auditoria</t>
        </is>
      </c>
      <c r="I60" s="11" t="inlineStr">
        <is>
          <t>Verified</t>
        </is>
      </c>
    </row>
    <row r="61" ht="56" customHeight="1">
      <c r="A61" s="12" t="inlineStr">
        <is>
          <t>13. Amenity assembly and dining</t>
        </is>
      </c>
      <c r="B61" s="12" t="inlineStr">
        <is>
          <t>1109.2.9</t>
        </is>
      </c>
      <c r="C61" s="12" t="inlineStr">
        <is>
          <t>Dining floor areas</t>
        </is>
      </c>
      <c r="D61" s="12" t="inlineStr">
        <is>
          <t>All interior and exterior dining and drinking floor areas shall be accessible and on an accessible route</t>
        </is>
      </c>
      <c r="E61" s="12" t="inlineStr">
        <is>
          <t>Dining and drinking areas</t>
        </is>
      </c>
      <c r="F61" s="12" t="inlineStr">
        <is>
          <t>Mezzanine &lt; 25% of combined dining area with the same services (Ex. 2); 1104.4 Ex. 1 story skip (not this high-rise)</t>
        </is>
      </c>
      <c r="G61" s="13" t="inlineStr">
        <is>
          <t>Conditional</t>
        </is>
      </c>
      <c r="H61" s="12" t="inlineStr">
        <is>
          <t>Put restaurant, café and terrace dining on an accessible route</t>
        </is>
      </c>
      <c r="I61" s="11" t="inlineStr">
        <is>
          <t>Verified</t>
        </is>
      </c>
    </row>
    <row r="62" ht="56" customHeight="1">
      <c r="A62" s="9" t="inlineStr">
        <is>
          <t>13. Amenity assembly and dining</t>
        </is>
      </c>
      <c r="B62" s="9" t="inlineStr">
        <is>
          <t>1109.2.9.1</t>
        </is>
      </c>
      <c r="C62" s="9" t="inlineStr">
        <is>
          <t>Dining surfaces</t>
        </is>
      </c>
      <c r="D62" s="9" t="inlineStr">
        <is>
          <t>≥ 5% (≥ 1) of dining surfaces for seating and standing spaces accessible, distributed, on an accessible level</t>
        </is>
      </c>
      <c r="E62" s="9" t="inlineStr">
        <is>
          <t>Dining surfaces provided</t>
        </is>
      </c>
      <c r="F62" s="9" t="inlineStr">
        <is>
          <t>Same mezzanine branch as 1109.2.9</t>
        </is>
      </c>
      <c r="G62" s="13" t="inlineStr">
        <is>
          <t>Conditional</t>
        </is>
      </c>
      <c r="H62" s="9" t="inlineStr">
        <is>
          <t>Provide wheelchair dining in office cafés and amenity restaurants</t>
        </is>
      </c>
      <c r="I62" s="11" t="inlineStr">
        <is>
          <t>Verified</t>
        </is>
      </c>
    </row>
    <row r="63" ht="40" customHeight="1">
      <c r="A63" s="12" t="inlineStr">
        <is>
          <t>13. Amenity assembly and dining</t>
        </is>
      </c>
      <c r="B63" s="12" t="inlineStr">
        <is>
          <t>Table 1109.2.7.1</t>
        </is>
      </c>
      <c r="C63" s="12" t="inlineStr">
        <is>
          <t>ALS receivers</t>
        </is>
      </c>
      <c r="D63" s="12" t="inlineStr">
        <is>
          <t>Flattened OCR table; asterisks unresolved; no reconstructed receiver-count cell is adopted</t>
        </is>
      </c>
      <c r="E63" s="12" t="inlineStr">
        <is>
          <t>Assembly where audible communication is integral</t>
        </is>
      </c>
      <c r="F63" s="12" t="inlineStr">
        <is>
          <t>Not required (except courtrooms) where there is no audio amplification; induction-loop HAC exception</t>
        </is>
      </c>
      <c r="G63" s="13" t="inlineStr">
        <is>
          <t>Conditional</t>
        </is>
      </c>
      <c r="H63" s="12" t="inlineStr">
        <is>
          <t>If an amenity hall has a PA, provide receivers after published-source check of the table</t>
        </is>
      </c>
      <c r="I63" s="16" t="inlineStr">
        <is>
          <t>Verify source</t>
        </is>
      </c>
    </row>
    <row r="64" ht="56" customHeight="1">
      <c r="A64" s="9" t="inlineStr">
        <is>
          <t>14. Signage</t>
        </is>
      </c>
      <c r="B64" s="9" t="inlineStr">
        <is>
          <t>1112.1 Items 4–7</t>
        </is>
      </c>
      <c r="C64" s="9" t="inlineStr">
        <is>
          <t>Partial-access identification</t>
        </is>
      </c>
      <c r="D64" s="9" t="inlineStr">
        <is>
          <t>Identify accessible toilets, entrances, check-out aisles and dressing/locker rooms where not all are accessible</t>
        </is>
      </c>
      <c r="E64" s="9" t="inlineStr">
        <is>
          <t>Mixed accessible/non-accessible sets</t>
        </is>
      </c>
      <c r="F64" s="9" t="inlineStr">
        <is>
          <t>None stated</t>
        </is>
      </c>
      <c r="G64" s="11" t="inlineStr">
        <is>
          <t>Direct</t>
        </is>
      </c>
      <c r="H64" s="9" t="inlineStr">
        <is>
          <t>Sign the accessible lobby entrance if any public entrance remains inaccessible</t>
        </is>
      </c>
      <c r="I64" s="11" t="inlineStr">
        <is>
          <t>Verified</t>
        </is>
      </c>
    </row>
    <row r="65" ht="40" customHeight="1">
      <c r="A65" s="12" t="inlineStr">
        <is>
          <t>14. Signage</t>
        </is>
      </c>
      <c r="B65" s="12" t="inlineStr">
        <is>
          <t>1112.1 Items 8–9</t>
        </is>
      </c>
      <c r="C65" s="12" t="inlineStr">
        <is>
          <t>Accessible MOE signs</t>
        </is>
      </c>
      <c r="D65" s="12" t="inlineStr">
        <is>
          <t>Accessible areas of refuge and exterior areas for assisted rescue in accordance with Section 1009.9</t>
        </is>
      </c>
      <c r="E65" s="12" t="inlineStr">
        <is>
          <t>Those elements provided</t>
        </is>
      </c>
      <c r="F65" s="12" t="inlineStr">
        <is>
          <t>Values not in Chapter 11</t>
        </is>
      </c>
      <c r="G65" s="15" t="inlineStr">
        <is>
          <t>External verification</t>
        </is>
      </c>
      <c r="H65" s="12" t="inlineStr">
        <is>
          <t>Coordinate ISA with the Chapter 10 accessible-egress package</t>
        </is>
      </c>
      <c r="I65" s="11" t="inlineStr">
        <is>
          <t>Verified</t>
        </is>
      </c>
    </row>
    <row r="66" ht="72" customHeight="1">
      <c r="A66" s="9" t="inlineStr">
        <is>
          <t>14. Signage</t>
        </is>
      </c>
      <c r="B66" s="9" t="inlineStr">
        <is>
          <t>1112.3</t>
        </is>
      </c>
      <c r="C66" s="9" t="inlineStr">
        <is>
          <t>Directional signs</t>
        </is>
      </c>
      <c r="D66" s="9" t="inlineStr">
        <is>
          <t>Directional ISA signage at inaccessible entrances, toilets, elevators not on an accessible route, family-toilet locations, exits not providing approved accessible MOE (1009.10), and split hi-lo fountains</t>
        </is>
      </c>
      <c r="E66" s="9" t="inlineStr">
        <is>
          <t>Those conditions</t>
        </is>
      </c>
      <c r="F66" s="9" t="inlineStr">
        <is>
          <t>Visual characters per A117.1 (not imported)</t>
        </is>
      </c>
      <c r="G66" s="11" t="inlineStr">
        <is>
          <t>Direct</t>
        </is>
      </c>
      <c r="H66" s="9" t="inlineStr">
        <is>
          <t>Place directional copy at every inaccessible public entrance</t>
        </is>
      </c>
      <c r="I66" s="11" t="inlineStr">
        <is>
          <t>Verified</t>
        </is>
      </c>
    </row>
    <row r="67" ht="56" customHeight="1">
      <c r="A67" s="12" t="inlineStr">
        <is>
          <t>14. Signage</t>
        </is>
      </c>
      <c r="B67" s="12" t="inlineStr">
        <is>
          <t>1112.4 Item 1</t>
        </is>
      </c>
      <c r="C67" s="12" t="inlineStr">
        <is>
          <t>ALS availability sign</t>
        </is>
      </c>
      <c r="D67" s="12" t="inlineStr">
        <is>
          <t>Assembly areas required to comply with 1109.2.7 shall notify patrons of assistive listening systems, with the hearing-loss symbol</t>
        </is>
      </c>
      <c r="E67" s="12" t="inlineStr">
        <is>
          <t>Assembly with ALS</t>
        </is>
      </c>
      <c r="F67" s="12" t="inlineStr">
        <is>
          <t>Signs at each ticket window may substitute for signs in each assembly room</t>
        </is>
      </c>
      <c r="G67" s="13" t="inlineStr">
        <is>
          <t>Conditional</t>
        </is>
      </c>
      <c r="H67" s="12" t="inlineStr">
        <is>
          <t>If an amenity hall has a PA, post ALS availability at the door or ticket point</t>
        </is>
      </c>
      <c r="I67" s="11" t="inlineStr">
        <is>
          <t>Verified</t>
        </is>
      </c>
    </row>
    <row r="68" ht="40" customHeight="1">
      <c r="A68" s="9" t="inlineStr">
        <is>
          <t>15. High-rise and outbound controls</t>
        </is>
      </c>
      <c r="B68" s="9" t="inlineStr">
        <is>
          <t>1009 (named)</t>
        </is>
      </c>
      <c r="C68" s="9" t="inlineStr">
        <is>
          <t>Accessible means of egress</t>
        </is>
      </c>
      <c r="D68" s="9" t="inlineStr">
        <is>
          <t>Chapter 11 repeatedly sends accessible egress to Section 1009</t>
        </is>
      </c>
      <c r="E68" s="9" t="inlineStr">
        <is>
          <t>Accessible floors and occupied roofs</t>
        </is>
      </c>
      <c r="F68" s="9" t="inlineStr">
        <is>
          <t>No 1009 values imported</t>
        </is>
      </c>
      <c r="G68" s="15" t="inlineStr">
        <is>
          <t>External verification</t>
        </is>
      </c>
      <c r="H68" s="9" t="inlineStr">
        <is>
          <t>Use the Chapter 10 matrix for AMOE; do not copy those numbers here</t>
        </is>
      </c>
      <c r="I68" s="11" t="inlineStr">
        <is>
          <t>Verified</t>
        </is>
      </c>
    </row>
    <row r="69" ht="56" customHeight="1">
      <c r="A69" s="12" t="inlineStr">
        <is>
          <t>15. High-rise and outbound controls</t>
        </is>
      </c>
      <c r="B69" s="12" t="inlineStr">
        <is>
          <t>1110.8 / Ch. 30 / 403</t>
        </is>
      </c>
      <c r="C69" s="12" t="inlineStr">
        <is>
          <t>Elevators</t>
        </is>
      </c>
      <c r="D69" s="12" t="inlineStr">
        <is>
          <t>Passenger elevators on the accessible route: accessible + Chapter 30. Commentary also names stretcher, 1009.2.1 and 36 m FSAE — commentary numbers are not adopted</t>
        </is>
      </c>
      <c r="E69" s="12" t="inlineStr">
        <is>
          <t>Elevators / high-rise</t>
        </is>
      </c>
      <c r="F69" s="12" t="inlineStr">
        <is>
          <t>Charging 1110.8 does not itself state 36 m or four-storey triggers</t>
        </is>
      </c>
      <c r="G69" s="15" t="inlineStr">
        <is>
          <t>External verification</t>
        </is>
      </c>
      <c r="H69" s="12" t="inlineStr">
        <is>
          <t>Coordinate stretcher, FSAE and occupant-evacuation elevators from Chapter 30 / 403, not from Chapter 11 commentary</t>
        </is>
      </c>
      <c r="I69" s="11" t="inlineStr">
        <is>
          <t>Verified</t>
        </is>
      </c>
    </row>
    <row r="70" ht="40" customHeight="1">
      <c r="A70" s="9" t="inlineStr">
        <is>
          <t>15. High-rise and outbound controls</t>
        </is>
      </c>
      <c r="B70" s="9" t="inlineStr">
        <is>
          <t>SBC 901 §306</t>
        </is>
      </c>
      <c r="C70" s="9" t="inlineStr">
        <is>
          <t>Existing buildings</t>
        </is>
      </c>
      <c r="D70" s="9" t="inlineStr">
        <is>
          <t>Named in General Comments only</t>
        </is>
      </c>
      <c r="E70" s="9" t="inlineStr">
        <is>
          <t>Existing buildings</t>
        </is>
      </c>
      <c r="F70" s="9" t="inlineStr">
        <is>
          <t>Not quantified in this chapter’s code paragraphs</t>
        </is>
      </c>
      <c r="G70" s="15" t="inlineStr">
        <is>
          <t>External verification</t>
        </is>
      </c>
      <c r="H70" s="9" t="inlineStr">
        <is>
          <t>Alterations are outside this new-construction extract</t>
        </is>
      </c>
      <c r="I70" s="11" t="inlineStr">
        <is>
          <t>Verified</t>
        </is>
      </c>
    </row>
  </sheetData>
  <mergeCells count="2">
    <mergeCell ref="A1:I1"/>
    <mergeCell ref="A2:I2"/>
  </mergeCells>
  <conditionalFormatting sqref="G5:G70">
    <cfRule type="expression" priority="1" dxfId="0">
      <formula>G5="Direct"</formula>
    </cfRule>
    <cfRule type="expression" priority="3" dxfId="1">
      <formula>G5="Conditional"</formula>
    </cfRule>
    <cfRule type="expression" priority="5" dxfId="2">
      <formula>G5="External verification"</formula>
    </cfRule>
    <cfRule type="expression" priority="7" dxfId="3">
      <formula>G5="Not typical"</formula>
    </cfRule>
    <cfRule type="expression" priority="9" dxfId="0">
      <formula>G5="Verified"</formula>
    </cfRule>
    <cfRule type="expression" priority="11" dxfId="4">
      <formula>G5="Verify source"</formula>
    </cfRule>
  </conditionalFormatting>
  <conditionalFormatting sqref="I5:I70">
    <cfRule type="expression" priority="2" dxfId="0">
      <formula>I5="Direct"</formula>
    </cfRule>
    <cfRule type="expression" priority="4" dxfId="1">
      <formula>I5="Conditional"</formula>
    </cfRule>
    <cfRule type="expression" priority="6" dxfId="2">
      <formula>I5="External verification"</formula>
    </cfRule>
    <cfRule type="expression" priority="8" dxfId="3">
      <formula>I5="Not typical"</formula>
    </cfRule>
    <cfRule type="expression" priority="10" dxfId="0">
      <formula>I5="Verified"</formula>
    </cfRule>
    <cfRule type="expression" priority="12" dxfId="4">
      <formula>I5="Verify source"</formula>
    </cfRule>
  </conditionalFormatting>
  <pageMargins left="0.4" right="0.4" top="0.5" bottom="0.5" header="0.25" footer="0.25"/>
  <pageSetup orientation="landscape" paperSize="8" fitToHeight="0" fitToWidth="1"/>
  <headerFooter>
    <oddHeader/>
    <oddFooter>&amp;LSource-only advisory matrix — not a stamped compliance document&amp;RPage &amp;P of &amp;N</oddFooter>
    <evenHeader/>
    <evenFooter/>
    <firstHeader/>
    <firstFooter/>
  </headerFooter>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B9"/>
  <sheetViews>
    <sheetView showGridLines="0" workbookViewId="0">
      <pane ySplit="3" topLeftCell="A4" activePane="bottomLeft" state="frozen"/>
      <selection pane="bottomLeft" activeCell="A1" sqref="A1"/>
    </sheetView>
  </sheetViews>
  <sheetFormatPr baseColWidth="8" defaultRowHeight="15"/>
  <cols>
    <col width="8" customWidth="1" min="1" max="1"/>
    <col width="140" customWidth="1" min="2" max="2"/>
  </cols>
  <sheetData>
    <row r="1">
      <c r="A1" s="10" t="inlineStr">
        <is>
          <t>Project-use controls</t>
        </is>
      </c>
    </row>
    <row r="3" ht="28" customHeight="1">
      <c r="A3" s="3" t="inlineStr">
        <is>
          <t>#</t>
        </is>
      </c>
      <c r="B3" s="3" t="inlineStr">
        <is>
          <t>Control</t>
        </is>
      </c>
    </row>
    <row r="4" ht="28" customHeight="1">
      <c r="A4" s="7" t="n">
        <v>1</v>
      </c>
      <c r="B4" s="5" t="inlineStr">
        <is>
          <t>Use Verified rows for initial scoping after the row trigger and branch are confirmed.</t>
        </is>
      </c>
    </row>
    <row r="5" ht="40" customHeight="1">
      <c r="A5" s="8" t="n">
        <v>2</v>
      </c>
      <c r="B5" s="9" t="inlineStr">
        <is>
          <t>Treat every Verify source row (all reconstructed appended tables) as a design hold point; no affected value is to be placed in issued-for-approval drawings without a published-source check.</t>
        </is>
      </c>
    </row>
    <row r="6" ht="40" customHeight="1">
      <c r="A6" s="7" t="n">
        <v>3</v>
      </c>
      <c r="B6" s="5" t="inlineStr">
        <is>
          <t>Do not apply R-1 Accessible-guestroom quotas, R-2 Type A/B apartment mix, the R-2 2 percent parking rule, or the 1107.2 R-2 EV exemption to Group B office parking or office EV.</t>
        </is>
      </c>
    </row>
    <row r="7" ht="28" customHeight="1">
      <c r="A7" s="8" t="n">
        <v>4</v>
      </c>
      <c r="B7" s="9" t="inlineStr">
        <is>
          <t>Do not apply the 1111.2.2 25% recreation rule to office-serving facilities; those use 1111.3.</t>
        </is>
      </c>
    </row>
    <row r="8" ht="28" customHeight="1">
      <c r="A8" s="7" t="n">
        <v>5</v>
      </c>
      <c r="B8" s="5" t="inlineStr">
        <is>
          <t>Do not import ICC A117.1 millimetres, Chapter 10 AMOE dimensions, or commentary examples.</t>
        </is>
      </c>
    </row>
    <row r="9" ht="40" customHeight="1">
      <c r="A9" s="8" t="n">
        <v>6</v>
      </c>
      <c r="B9" s="9" t="inlineStr">
        <is>
          <t>Record AHJ, occupant-load, parking, amenity-program and recreation-ownership decisions in the project Golden Thread; this matrix is not evidence of SCD NOC or stamped compliance.</t>
        </is>
      </c>
    </row>
  </sheetData>
  <mergeCells count="1">
    <mergeCell ref="A1:B1"/>
  </mergeCells>
  <pageMargins left="0.4" right="0.4" top="0.5" bottom="0.5" header="0.25" footer="0.25"/>
  <pageSetup orientation="landscape" paperSize="8" fitToHeight="0" fitToWidth="1"/>
  <headerFooter>
    <oddHeader/>
    <oddFooter>&amp;LSource-only advisory matrix — not a stamped compliance document&amp;RPage &amp;P of &amp;N</oddFooter>
    <evenHeader/>
    <evenFooter/>
    <firstHeader/>
    <firstFooter/>
  </headerFooter>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E37"/>
  <sheetViews>
    <sheetView showGridLines="0" workbookViewId="0">
      <pane ySplit="3" topLeftCell="A4" activePane="bottomLeft" state="frozen"/>
      <selection pane="bottomLeft" activeCell="A1" sqref="A1"/>
    </sheetView>
  </sheetViews>
  <sheetFormatPr baseColWidth="8" defaultRowHeight="15"/>
  <cols>
    <col width="36" customWidth="1" min="1" max="1"/>
    <col width="18" customWidth="1" min="2" max="2"/>
    <col width="24" customWidth="1" min="3" max="3"/>
    <col width="18" customWidth="1" min="4" max="4"/>
    <col width="24" customWidth="1" min="5" max="5"/>
  </cols>
  <sheetData>
    <row r="1">
      <c r="A1" s="10" t="inlineStr">
        <is>
          <t>Coverage summary</t>
        </is>
      </c>
    </row>
    <row r="2" ht="32" customHeight="1">
      <c r="A2" s="17" t="inlineStr">
        <is>
          <t>Internal inventory of the attached Chapter 11 extract (numbered code, exceptions, tables, footnotes; commentary excluded). Row-level records are not published.</t>
        </is>
      </c>
    </row>
    <row r="4" ht="28" customHeight="1">
      <c r="A4" s="3" t="inlineStr">
        <is>
          <t>Metric</t>
        </is>
      </c>
      <c r="B4" s="3" t="inlineStr">
        <is>
          <t>Value</t>
        </is>
      </c>
    </row>
    <row r="5">
      <c r="A5" s="18" t="inlineStr">
        <is>
          <t>Inventory scope</t>
        </is>
      </c>
      <c r="B5" s="19" t="inlineStr">
        <is>
          <t>numbered code, exceptions, tables, footnotes (commentary excluded)</t>
        </is>
      </c>
    </row>
    <row r="6">
      <c r="A6" s="18" t="inlineStr">
        <is>
          <t>Total independently checkable numeric records</t>
        </is>
      </c>
      <c r="B6" s="20" t="n">
        <v>276</v>
      </c>
    </row>
    <row r="7">
      <c r="A7" s="21" t="inlineStr">
        <is>
          <t>Verified</t>
        </is>
      </c>
      <c r="B7" s="22" t="n">
        <v>192</v>
      </c>
    </row>
    <row r="8">
      <c r="A8" s="23" t="inlineStr">
        <is>
          <t>Verify source</t>
        </is>
      </c>
      <c r="B8" s="24" t="n">
        <v>84</v>
      </c>
    </row>
    <row r="9">
      <c r="A9" s="18" t="inlineStr">
        <is>
          <t>Numeric records in Sections 1101 and 1102</t>
        </is>
      </c>
      <c r="B9" s="20" t="n">
        <v>0</v>
      </c>
    </row>
    <row r="11">
      <c r="A11" s="6" t="inlineStr">
        <is>
          <t>Counts by top-level section</t>
        </is>
      </c>
    </row>
    <row r="12" ht="28" customHeight="1">
      <c r="A12" s="3" t="inlineStr">
        <is>
          <t>Top-level section</t>
        </is>
      </c>
      <c r="B12" s="3" t="inlineStr">
        <is>
          <t>Records</t>
        </is>
      </c>
    </row>
    <row r="13" ht="28" customHeight="1">
      <c r="A13" s="12" t="inlineStr">
        <is>
          <t>1101</t>
        </is>
      </c>
      <c r="B13" s="25" t="n">
        <v>0</v>
      </c>
    </row>
    <row r="14" ht="28" customHeight="1">
      <c r="A14" s="9" t="inlineStr">
        <is>
          <t>1102</t>
        </is>
      </c>
      <c r="B14" s="26" t="n">
        <v>0</v>
      </c>
    </row>
    <row r="15" ht="28" customHeight="1">
      <c r="A15" s="12" t="inlineStr">
        <is>
          <t>1103</t>
        </is>
      </c>
      <c r="B15" s="25" t="n">
        <v>3</v>
      </c>
    </row>
    <row r="16" ht="28" customHeight="1">
      <c r="A16" s="9" t="inlineStr">
        <is>
          <t>1104</t>
        </is>
      </c>
      <c r="B16" s="26" t="n">
        <v>12</v>
      </c>
    </row>
    <row r="17" ht="28" customHeight="1">
      <c r="A17" s="12" t="inlineStr">
        <is>
          <t>1105</t>
        </is>
      </c>
      <c r="B17" s="25" t="n">
        <v>9</v>
      </c>
    </row>
    <row r="18" ht="28" customHeight="1">
      <c r="A18" s="9" t="inlineStr">
        <is>
          <t>1106</t>
        </is>
      </c>
      <c r="B18" s="26" t="n">
        <v>12</v>
      </c>
    </row>
    <row r="19" ht="28" customHeight="1">
      <c r="A19" s="12" t="inlineStr">
        <is>
          <t>1107</t>
        </is>
      </c>
      <c r="B19" s="25" t="n">
        <v>4</v>
      </c>
    </row>
    <row r="20" ht="28" customHeight="1">
      <c r="A20" s="9" t="inlineStr">
        <is>
          <t>1108</t>
        </is>
      </c>
      <c r="B20" s="26" t="n">
        <v>51</v>
      </c>
    </row>
    <row r="21" ht="28" customHeight="1">
      <c r="A21" s="12" t="inlineStr">
        <is>
          <t>1109</t>
        </is>
      </c>
      <c r="B21" s="25" t="n">
        <v>16</v>
      </c>
    </row>
    <row r="22" ht="28" customHeight="1">
      <c r="A22" s="9" t="inlineStr">
        <is>
          <t>1110</t>
        </is>
      </c>
      <c r="B22" s="26" t="n">
        <v>62</v>
      </c>
    </row>
    <row r="23" ht="28" customHeight="1">
      <c r="A23" s="12" t="inlineStr">
        <is>
          <t>1111</t>
        </is>
      </c>
      <c r="B23" s="25" t="n">
        <v>22</v>
      </c>
    </row>
    <row r="24" ht="28" customHeight="1">
      <c r="A24" s="9" t="inlineStr">
        <is>
          <t>1112</t>
        </is>
      </c>
      <c r="B24" s="26" t="n">
        <v>1</v>
      </c>
    </row>
    <row r="26">
      <c r="A26" s="6" t="inlineStr">
        <is>
          <t>Appended-table coverage</t>
        </is>
      </c>
    </row>
    <row r="27" ht="28" customHeight="1">
      <c r="A27" s="3" t="inlineStr">
        <is>
          <t>Appended table</t>
        </is>
      </c>
      <c r="B27" s="3" t="inlineStr">
        <is>
          <t>Records</t>
        </is>
      </c>
      <c r="C27" s="3" t="inlineStr">
        <is>
          <t>Verify source records</t>
        </is>
      </c>
    </row>
    <row r="28" ht="28" customHeight="1">
      <c r="A28" s="12" t="inlineStr">
        <is>
          <t>Table 1105.1.1</t>
        </is>
      </c>
      <c r="B28" s="25" t="n">
        <v>2</v>
      </c>
      <c r="C28" s="25" t="n">
        <v>2</v>
      </c>
    </row>
    <row r="29" ht="28" customHeight="1">
      <c r="A29" s="9" t="inlineStr">
        <is>
          <t>Table 1106.2</t>
        </is>
      </c>
      <c r="B29" s="26" t="n">
        <v>11</v>
      </c>
      <c r="C29" s="26" t="n">
        <v>11</v>
      </c>
    </row>
    <row r="30" ht="28" customHeight="1">
      <c r="A30" s="12" t="inlineStr">
        <is>
          <t>Table 1108.6.1.1</t>
        </is>
      </c>
      <c r="B30" s="25" t="n">
        <v>33</v>
      </c>
      <c r="C30" s="25" t="n">
        <v>33</v>
      </c>
    </row>
    <row r="31" ht="28" customHeight="1">
      <c r="A31" s="9" t="inlineStr">
        <is>
          <t>Table 1109.2.2.1</t>
        </is>
      </c>
      <c r="B31" s="26" t="n">
        <v>7</v>
      </c>
      <c r="C31" s="26" t="n">
        <v>7</v>
      </c>
    </row>
    <row r="32" ht="28" customHeight="1">
      <c r="A32" s="12" t="inlineStr">
        <is>
          <t>Table 1109.2.7.1</t>
        </is>
      </c>
      <c r="B32" s="25" t="n">
        <v>12</v>
      </c>
      <c r="C32" s="25" t="n">
        <v>12</v>
      </c>
    </row>
    <row r="33" ht="28" customHeight="1">
      <c r="A33" s="9" t="inlineStr">
        <is>
          <t>Table 1109.3</t>
        </is>
      </c>
      <c r="B33" s="26" t="n">
        <v>2</v>
      </c>
      <c r="C33" s="26" t="n">
        <v>2</v>
      </c>
    </row>
    <row r="34" ht="28" customHeight="1">
      <c r="A34" s="12" t="inlineStr">
        <is>
          <t>Table 1110.13.1</t>
        </is>
      </c>
      <c r="B34" s="25" t="n">
        <v>4</v>
      </c>
      <c r="C34" s="25" t="n">
        <v>4</v>
      </c>
    </row>
    <row r="35" ht="28" customHeight="1">
      <c r="A35" s="9" t="inlineStr">
        <is>
          <t>TABLE 111.4.9.1 (OCR title)</t>
        </is>
      </c>
      <c r="B35" s="26" t="n">
        <v>13</v>
      </c>
      <c r="C35" s="26" t="n">
        <v>13</v>
      </c>
    </row>
    <row r="37" ht="48" customHeight="1">
      <c r="A37" s="17" t="inlineStr">
        <is>
          <t>Coverage cross-check against SBC 201 Chapter 11 Accessibility (2024)_CS.md was topics-only: scoping vs ICC A117.1; 1103.2 exceptions; routes and stories; entrances and power doors; parking/vans; EV charging; employee work areas; assembly seating and toilets. No CS.md value was copied into a matrix cell.</t>
        </is>
      </c>
    </row>
  </sheetData>
  <mergeCells count="5">
    <mergeCell ref="A2:E2"/>
    <mergeCell ref="A37:C37"/>
    <mergeCell ref="A11:B11"/>
    <mergeCell ref="A1:E1"/>
    <mergeCell ref="A26:C26"/>
  </mergeCells>
  <pageMargins left="0.4" right="0.4" top="0.5" bottom="0.5" header="0.25" footer="0.25"/>
  <pageSetup orientation="landscape" paperSize="8" fitToHeight="0" fitToWidth="1"/>
  <headerFooter>
    <oddHeader/>
    <oddFooter>&amp;LSource-only advisory matrix — not a stamped compliance document&amp;RPage &amp;P of &amp;N</oddFooter>
    <evenHeader/>
    <evenFooter/>
    <firstHeader/>
    <firstFooter/>
  </headerFooter>
  <drawing xmlns:r="http://schemas.openxmlformats.org/officeDocument/2006/relationships" r:id="rId1"/>
  <tableParts count="3">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7.xml><?xml version="1.0" encoding="utf-8"?>
<worksheet xmlns="http://schemas.openxmlformats.org/spreadsheetml/2006/main">
  <sheetPr>
    <outlinePr summaryBelow="1" summaryRight="1"/>
    <pageSetUpPr fitToPage="1"/>
  </sheetPr>
  <dimension ref="A1:C11"/>
  <sheetViews>
    <sheetView showGridLines="0" workbookViewId="0">
      <pane ySplit="3" topLeftCell="A4" activePane="bottomLeft" state="frozen"/>
      <selection pane="bottomLeft" activeCell="A1" sqref="A1"/>
    </sheetView>
  </sheetViews>
  <sheetFormatPr baseColWidth="8" defaultRowHeight="15"/>
  <cols>
    <col width="36" customWidth="1" min="1" max="1"/>
    <col width="52" customWidth="1" min="2" max="2"/>
    <col width="72" customWidth="1" min="3" max="3"/>
  </cols>
  <sheetData>
    <row r="1" ht="24" customHeight="1">
      <c r="A1" s="10" t="inlineStr">
        <is>
          <t>Unresolved-source register</t>
        </is>
      </c>
    </row>
    <row r="2" ht="36" customHeight="1">
      <c r="A2" s="17" t="inlineStr">
        <is>
          <t>Hold points for the 84 Verify source inventory records. Counts are record counts, not distinct numeric values. No value in this register is a design-release figure.</t>
        </is>
      </c>
    </row>
    <row r="3" ht="28" customHeight="1">
      <c r="A3" s="3" t="inlineStr">
        <is>
          <t>Affected table / clause</t>
        </is>
      </c>
      <c r="B3" s="3" t="inlineStr">
        <is>
          <t>Why unverified</t>
        </is>
      </c>
      <c r="C3" s="3" t="inlineStr">
        <is>
          <t>Control note</t>
        </is>
      </c>
    </row>
    <row r="4" ht="40" customHeight="1">
      <c r="A4" s="12" t="inlineStr">
        <is>
          <t>Table 1105.1.1</t>
        </is>
      </c>
      <c r="B4" s="12" t="inlineStr">
        <is>
          <t>2 flattened occupancy/load cells</t>
        </is>
      </c>
      <c r="C4" s="12" t="inlineStr">
        <is>
          <t>Verify published table; Group B is listed. Mixed-use footnote uses the most restrictive listed occupant load</t>
        </is>
      </c>
    </row>
    <row r="5" ht="40" customHeight="1">
      <c r="A5" s="9" t="inlineStr">
        <is>
          <t>Table 1106.2</t>
        </is>
      </c>
      <c r="B5" s="9" t="inlineStr">
        <is>
          <t>11 flattened stall-count rows</t>
        </is>
      </c>
      <c r="C5" s="9" t="inlineStr">
        <is>
          <t>Group B parking uses this table via 1106.2; verify published table before stall counts</t>
        </is>
      </c>
    </row>
    <row r="6" ht="40" customHeight="1">
      <c r="A6" s="12" t="inlineStr">
        <is>
          <t>Table 1108.6.1.1</t>
        </is>
      </c>
      <c r="B6" s="12" t="inlineStr">
        <is>
          <t>33 flattened Accessible-unit cells (without / with roll-in / total)</t>
        </is>
      </c>
      <c r="C6" s="12" t="inlineStr">
        <is>
          <t>Not applied to Group B office; verify published table only if a hotel/congregate use is added on this occupancy</t>
        </is>
      </c>
    </row>
    <row r="7" ht="28" customHeight="1">
      <c r="A7" s="9" t="inlineStr">
        <is>
          <t>Table 1109.2.2.1</t>
        </is>
      </c>
      <c r="B7" s="9" t="inlineStr">
        <is>
          <t>7 flattened wheelchair-space rows</t>
        </is>
      </c>
      <c r="C7" s="9" t="inlineStr">
        <is>
          <t>Verify published table before amenity/assembly seating</t>
        </is>
      </c>
    </row>
    <row r="8" ht="28" customHeight="1">
      <c r="A8" s="12" t="inlineStr">
        <is>
          <t>Table 1109.2.7.1</t>
        </is>
      </c>
      <c r="B8" s="12" t="inlineStr">
        <is>
          <t>12 flattened receiver/HAC cells; asterisks unresolved</t>
        </is>
      </c>
      <c r="C8" s="12" t="inlineStr">
        <is>
          <t>Verify published table before ALS receiver counts</t>
        </is>
      </c>
    </row>
    <row r="9" ht="40" customHeight="1">
      <c r="A9" s="9" t="inlineStr">
        <is>
          <t>Table 1109.3</t>
        </is>
      </c>
      <c r="B9" s="9" t="inlineStr">
        <is>
          <t>2 flattened self-storage rows</t>
        </is>
      </c>
      <c r="C9" s="9" t="inlineStr">
        <is>
          <t>Not typical for this office; verify published table only if self-storage is added</t>
        </is>
      </c>
    </row>
    <row r="10" ht="28" customHeight="1">
      <c r="A10" s="12" t="inlineStr">
        <is>
          <t>Table 1110.13.1</t>
        </is>
      </c>
      <c r="B10" s="12" t="inlineStr">
        <is>
          <t>4 flattened check-out-aisle rows</t>
        </is>
      </c>
      <c r="C10" s="12" t="inlineStr">
        <is>
          <t>Verify published table if amenity retail check-out aisles exist</t>
        </is>
      </c>
    </row>
    <row r="11" ht="40" customHeight="1">
      <c r="A11" s="9" t="inlineStr">
        <is>
          <t>TABLE 111.4.9.1 (OCR title as printed)</t>
        </is>
      </c>
      <c r="B11" s="9" t="inlineStr">
        <is>
          <t>13 flattened boat-slip rows</t>
        </is>
      </c>
      <c r="C11" s="9" t="inlineStr">
        <is>
          <t>Title OCR; not typical for this office; verify published Table 1111.4.9.1 if a marina is added</t>
        </is>
      </c>
    </row>
  </sheetData>
  <mergeCells count="2">
    <mergeCell ref="A1:C1"/>
    <mergeCell ref="A2:C2"/>
  </mergeCells>
  <pageMargins left="0.4" right="0.4" top="0.5" bottom="0.5" header="0.25" footer="0.25"/>
  <pageSetup orientation="landscape" paperSize="8" fitToHeight="0" fitToWidth="1"/>
  <headerFooter>
    <oddHeader/>
    <oddFooter>&amp;LSource-only advisory matrix — not a stamped compliance document&amp;RPage &amp;P of &amp;N</oddFooter>
    <evenHeader/>
    <evenFooter/>
    <firstHeader/>
    <firstFooter/>
  </headerFooter>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Cursor Grok 4.6</dc:creator>
  <dc:title xmlns:dc="http://purl.org/dc/elements/1.1/">SBC 201 Chapter 11 Accessibility — Group B Office and Amenities Dimensional Requirements Matrix (2024)</dc:title>
  <dc:description xmlns:dc="http://purl.org/dc/elements/1.1/">Source-only architectural advisory matrix. Not a stamped compliance document.</dc:description>
  <dc:subject xmlns:dc="http://purl.org/dc/elements/1.1/">SBC 201 Chapter 11 Accessibility — Group B Office and Amenities Dimensional Requirements Matrix (2024)</dc:subject>
  <dcterms:created xmlns:dcterms="http://purl.org/dc/terms/" xmlns:xsi="http://www.w3.org/2001/XMLSchema-instance" xsi:type="dcterms:W3CDTF">2026-08-28T04:24:29Z</dcterms:created>
  <dcterms:modified xmlns:dcterms="http://purl.org/dc/terms/" xmlns:xsi="http://www.w3.org/2001/XMLSchema-instance" xsi:type="dcterms:W3CDTF">2026-08-28T04:24:29Z</dcterms:modified>
</cp:coreProperties>
</file>