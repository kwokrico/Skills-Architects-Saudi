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7.xml" ContentType="application/vnd.openxmlformats-officedocument.spreadsheetml.worksheet+xml"/>
  <Override PartName="/xl/tables/table11.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Cover" sheetId="1" state="visible" r:id="rId1"/>
    <sheet xmlns:r="http://schemas.openxmlformats.org/officeDocument/2006/relationships" name="02 Legends" sheetId="2" state="visible" r:id="rId2"/>
    <sheet xmlns:r="http://schemas.openxmlformats.org/officeDocument/2006/relationships" name="03 Gap Register" sheetId="3" state="visible" r:id="rId3"/>
    <sheet xmlns:r="http://schemas.openxmlformats.org/officeDocument/2006/relationships" name="04 Requirements Matrix" sheetId="4" state="visible" r:id="rId4"/>
    <sheet xmlns:r="http://schemas.openxmlformats.org/officeDocument/2006/relationships" name="05 Project-use Controls" sheetId="5" state="visible" r:id="rId5"/>
    <sheet xmlns:r="http://schemas.openxmlformats.org/officeDocument/2006/relationships" name="06 Coverage Summary" sheetId="6" state="visible" r:id="rId6"/>
    <sheet xmlns:r="http://schemas.openxmlformats.org/officeDocument/2006/relationships" name="07 Unresolved Source" sheetId="7" state="visible" r:id="rId7"/>
  </sheets>
  <definedNames>
    <definedName name="_xlnm.Print_Titles" localSheetId="0">'01 Cover'!$1:$2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B365D"/>
      <sz val="16"/>
    </font>
    <font>
      <name val="Calibri"/>
      <b val="1"/>
      <color rgb="00FFFFFF"/>
      <sz val="10"/>
    </font>
    <font>
      <name val="Calibri"/>
      <b val="1"/>
      <color rgb="001B365D"/>
      <sz val="10"/>
    </font>
    <font>
      <name val="Calibri"/>
      <color rgb="00222222"/>
      <sz val="10"/>
    </font>
    <font>
      <name val="Calibri"/>
      <b val="1"/>
      <color rgb="001B365D"/>
      <sz val="12"/>
    </font>
    <font>
      <name val="Calibri"/>
      <b val="1"/>
      <color rgb="00006100"/>
      <sz val="10"/>
    </font>
    <font>
      <name val="Calibri"/>
      <b val="1"/>
      <color rgb="007F6000"/>
      <sz val="10"/>
    </font>
    <font>
      <name val="Calibri"/>
      <b val="1"/>
      <color rgb="00595959"/>
      <sz val="10"/>
    </font>
    <font>
      <name val="Calibri"/>
      <b val="1"/>
      <color rgb="001F4E79"/>
      <sz val="10"/>
    </font>
    <font>
      <name val="Calibri"/>
      <b val="1"/>
      <color rgb="00C65911"/>
      <sz val="10"/>
    </font>
  </fonts>
  <fills count="12">
    <fill>
      <patternFill/>
    </fill>
    <fill>
      <patternFill patternType="gray125"/>
    </fill>
    <fill>
      <patternFill patternType="solid">
        <fgColor rgb="007B2D26"/>
      </patternFill>
    </fill>
    <fill>
      <patternFill patternType="solid">
        <fgColor rgb="001B365D"/>
      </patternFill>
    </fill>
    <fill>
      <patternFill patternType="solid">
        <fgColor rgb="00F4F6F8"/>
      </patternFill>
    </fill>
    <fill>
      <patternFill patternType="solid">
        <fgColor rgb="00EEF2F6"/>
      </patternFill>
    </fill>
    <fill>
      <patternFill patternType="solid">
        <fgColor rgb="00FFFFFF"/>
      </patternFill>
    </fill>
    <fill>
      <patternFill patternType="solid">
        <fgColor rgb="00C6EFCE"/>
      </patternFill>
    </fill>
    <fill>
      <patternFill patternType="solid">
        <fgColor rgb="00FFF2CC"/>
      </patternFill>
    </fill>
    <fill>
      <patternFill patternType="solid">
        <fgColor rgb="00E7E6E6"/>
      </patternFill>
    </fill>
    <fill>
      <patternFill patternType="solid">
        <fgColor rgb="00DDEBF7"/>
      </patternFill>
    </fill>
    <fill>
      <patternFill patternType="solid">
        <fgColor rgb="00FCE4D6"/>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vertical="top" wrapText="1"/>
    </xf>
    <xf numFmtId="0" fontId="5" fillId="0" borderId="0" pivotButton="0" quotePrefix="0" xfId="0"/>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vertical="top" wrapText="1"/>
    </xf>
    <xf numFmtId="0" fontId="1" fillId="0" borderId="0" pivotButton="0" quotePrefix="0" xfId="0"/>
    <xf numFmtId="0" fontId="6" fillId="7" borderId="1" applyAlignment="1" pivotButton="0" quotePrefix="0" xfId="0">
      <alignment horizontal="center" vertical="center" wrapText="1"/>
    </xf>
    <xf numFmtId="0" fontId="4" fillId="6" borderId="1" applyAlignment="1" pivotButton="0" quotePrefix="0" xfId="0">
      <alignment vertical="top"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4" fillId="0" borderId="0" applyAlignment="1" pivotButton="0" quotePrefix="0" xfId="0">
      <alignment vertical="top" wrapText="1"/>
    </xf>
    <xf numFmtId="0" fontId="3" fillId="0" borderId="1" pivotButton="0" quotePrefix="0" xfId="0"/>
    <xf numFmtId="0" fontId="4" fillId="0" borderId="1" pivotButton="0" quotePrefix="0" xfId="0"/>
    <xf numFmtId="0" fontId="4" fillId="0" borderId="1" applyAlignment="1" pivotButton="0" quotePrefix="0" xfId="0">
      <alignment horizontal="center" vertical="center"/>
    </xf>
    <xf numFmtId="0" fontId="3" fillId="7" borderId="1" pivotButton="0" quotePrefix="0" xfId="0"/>
    <xf numFmtId="0" fontId="4" fillId="7" borderId="1" applyAlignment="1" pivotButton="0" quotePrefix="0" xfId="0">
      <alignment horizontal="center" vertical="center"/>
    </xf>
    <xf numFmtId="0" fontId="3" fillId="11" borderId="1" pivotButton="0" quotePrefix="0" xfId="0"/>
    <xf numFmtId="0" fontId="4" fillId="11" borderId="1" applyAlignment="1" pivotButton="0" quotePrefix="0" xfId="0">
      <alignment horizontal="center" vertical="center"/>
    </xf>
    <xf numFmtId="1" fontId="4" fillId="6" borderId="1" applyAlignment="1" pivotButton="0" quotePrefix="0" xfId="0">
      <alignment vertical="top" wrapText="1"/>
    </xf>
    <xf numFmtId="1" fontId="4" fillId="5" borderId="1" applyAlignment="1" pivotButton="0" quotePrefix="0" xfId="0">
      <alignment vertical="top" wrapText="1"/>
    </xf>
  </cellXfs>
  <cellStyles count="1">
    <cellStyle name="Normal" xfId="0" builtinId="0" hidden="0"/>
  </cellStyles>
  <dxfs count="5">
    <dxf>
      <font>
        <name val="Calibri"/>
        <b val="1"/>
        <color rgb="00C65911"/>
        <sz val="10"/>
      </font>
      <fill>
        <patternFill patternType="solid">
          <fgColor rgb="00FCE4D6"/>
        </patternFill>
      </fill>
    </dxf>
    <dxf>
      <font>
        <name val="Calibri"/>
        <b val="1"/>
        <color rgb="00006100"/>
        <sz val="10"/>
      </font>
      <fill>
        <patternFill patternType="solid">
          <fgColor rgb="00C6EFCE"/>
        </patternFill>
      </fill>
    </dxf>
    <dxf>
      <font>
        <name val="Calibri"/>
        <b val="1"/>
        <color rgb="007F6000"/>
        <sz val="10"/>
      </font>
      <fill>
        <patternFill patternType="solid">
          <fgColor rgb="00FFF2CC"/>
        </patternFill>
      </fill>
    </dxf>
    <dxf>
      <font>
        <name val="Calibri"/>
        <b val="1"/>
        <color rgb="001F4E79"/>
        <sz val="10"/>
      </font>
      <fill>
        <patternFill patternType="solid">
          <fgColor rgb="00DDEBF7"/>
        </patternFill>
      </fill>
    </dxf>
    <dxf>
      <font>
        <name val="Calibri"/>
        <b val="1"/>
        <color rgb="00595959"/>
        <sz val="10"/>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Numeric records by top-level section</a:t>
            </a:r>
          </a:p>
        </rich>
      </tx>
    </title>
    <plotArea>
      <barChart>
        <barDir val="bar"/>
        <grouping val="clustered"/>
        <ser>
          <idx val="0"/>
          <order val="0"/>
          <tx>
            <strRef>
              <f>'06 Coverage Summary'!B12</f>
            </strRef>
          </tx>
          <spPr>
            <a:ln xmlns:a="http://schemas.openxmlformats.org/drawingml/2006/main">
              <a:prstDash val="solid"/>
            </a:ln>
          </spPr>
          <cat>
            <numRef>
              <f>'06 Coverage Summary'!$A$13:$A$24</f>
            </numRef>
          </cat>
          <val>
            <numRef>
              <f>'06 Coverage Summary'!$B$13:$B$24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Section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overMetadata" displayName="CoverMetadata" ref="A4:B12" headerRowCount="1">
  <autoFilter ref="A4:B12"/>
  <tableColumns count="2">
    <tableColumn id="1" name="Field"/>
    <tableColumn id="2" name="Value"/>
  </tableColumns>
  <tableStyleInfo name="TableStyleMedium2" showRowStripes="0" showColumnStripes="0"/>
</table>
</file>

<file path=xl/tables/table2.xml><?xml version="1.0" encoding="utf-8"?>
<table xmlns="http://schemas.openxmlformats.org/spreadsheetml/2006/main" id="2" name="CoverAssumptions" displayName="CoverAssumptions" ref="A15:B24" headerRowCount="1">
  <autoFilter ref="A15:B24"/>
  <tableColumns count="2">
    <tableColumn id="1" name="#"/>
    <tableColumn id="2" name="Assumption"/>
  </tableColumns>
  <tableStyleInfo name="TableStyleMedium2" showRowStripes="0" showColumnStripes="0"/>
</table>
</file>

<file path=xl/tables/table3.xml><?xml version="1.0" encoding="utf-8"?>
<table xmlns="http://schemas.openxmlformats.org/spreadsheetml/2006/main" id="3" name="Applicability" displayName="Applicability" ref="A4:B8" headerRowCount="1">
  <autoFilter ref="A4:B8"/>
  <tableColumns count="2">
    <tableColumn id="1" name="Status"/>
    <tableColumn id="2" name="Meaning"/>
  </tableColumns>
  <tableStyleInfo name="TableStyleMedium2" showRowStripes="0" showColumnStripes="0"/>
</table>
</file>

<file path=xl/tables/table4.xml><?xml version="1.0" encoding="utf-8"?>
<table xmlns="http://schemas.openxmlformats.org/spreadsheetml/2006/main" id="4" name="Sourceconfidence" displayName="Sourceconfidence" ref="A11:B13" headerRowCount="1">
  <autoFilter ref="A11:B13"/>
  <tableColumns count="2">
    <tableColumn id="1" name="Status"/>
    <tableColumn id="2" name="Meaning"/>
  </tableColumns>
  <tableStyleInfo name="TableStyleMedium2" showRowStripes="0" showColumnStripes="0"/>
</table>
</file>

<file path=xl/tables/table5.xml><?xml version="1.0" encoding="utf-8"?>
<table xmlns="http://schemas.openxmlformats.org/spreadsheetml/2006/main" id="5" name="GapRegister" displayName="GapRegister" ref="A3:D14" headerRowCount="1">
  <autoFilter ref="A3:D14"/>
  <tableColumns count="4">
    <tableColumn id="1" name="Decision / gap"/>
    <tableColumn id="2" name="Current project basis"/>
    <tableColumn id="3" name="Why it controls Chapter 11 application"/>
    <tableColumn id="4" name="Required project action"/>
  </tableColumns>
  <tableStyleInfo name="TableStyleMedium2" showRowStripes="0" showColumnStripes="0"/>
</table>
</file>

<file path=xl/tables/table6.xml><?xml version="1.0" encoding="utf-8"?>
<table xmlns="http://schemas.openxmlformats.org/spreadsheetml/2006/main" id="6" name="RequirementsMatrix" displayName="RequirementsMatrix" ref="A4:I72" headerRowCount="1">
  <autoFilter ref="A4:I72"/>
  <tableColumns count="9">
    <tableColumn id="1" name="Section"/>
    <tableColumn id="2" name="Cite"/>
    <tableColumn id="3" name="Component / check"/>
    <tableColumn id="4" name="Exact source requirement / value"/>
    <tableColumn id="5" name="Trigger / condition"/>
    <tableColumn id="6" name="Exceptions / branch"/>
    <tableColumn id="7" name="R-1 hotel status"/>
    <tableColumn id="8" name="Design action"/>
    <tableColumn id="9" name="Source confidence"/>
  </tableColumns>
  <tableStyleInfo name="TableStyleMedium2" showRowStripes="0" showColumnStripes="0"/>
</table>
</file>

<file path=xl/tables/table7.xml><?xml version="1.0" encoding="utf-8"?>
<table xmlns="http://schemas.openxmlformats.org/spreadsheetml/2006/main" id="7" name="ProjectUseControls" displayName="ProjectUseControls" ref="A3:B9" headerRowCount="1">
  <autoFilter ref="A3:B9"/>
  <tableColumns count="2">
    <tableColumn id="1" name="#"/>
    <tableColumn id="2" name="Control"/>
  </tableColumns>
  <tableStyleInfo name="TableStyleMedium2" showRowStripes="0" showColumnStripes="0"/>
</table>
</file>

<file path=xl/tables/table8.xml><?xml version="1.0" encoding="utf-8"?>
<table xmlns="http://schemas.openxmlformats.org/spreadsheetml/2006/main" id="8" name="CoverageKPIs" displayName="CoverageKPIs" ref="A4:B8" headerRowCount="1">
  <autoFilter ref="A4:B8"/>
  <tableColumns count="2">
    <tableColumn id="1" name="Metric"/>
    <tableColumn id="2" name="Value"/>
  </tableColumns>
  <tableStyleInfo name="TableStyleMedium2" showRowStripes="0" showColumnStripes="0"/>
</table>
</file>

<file path=xl/tables/table9.xml><?xml version="1.0" encoding="utf-8"?>
<table xmlns="http://schemas.openxmlformats.org/spreadsheetml/2006/main" id="9" name="CoverageBySection" displayName="CoverageBySection" ref="A12:B24" headerRowCount="1">
  <autoFilter ref="A12:B24"/>
  <tableColumns count="2">
    <tableColumn id="1" name="Top-level section"/>
    <tableColumn id="2" name="Records"/>
  </tableColumns>
  <tableStyleInfo name="TableStyleMedium2" showRowStripes="0" showColumnStripes="0"/>
</table>
</file>

<file path=xl/tables/table10.xml><?xml version="1.0" encoding="utf-8"?>
<table xmlns="http://schemas.openxmlformats.org/spreadsheetml/2006/main" id="10" name="CoverageAppendedTables" displayName="CoverageAppendedTables" ref="A27:C35" headerRowCount="1">
  <autoFilter ref="A27:C35"/>
  <tableColumns count="3">
    <tableColumn id="1" name="Appended table"/>
    <tableColumn id="2" name="Records"/>
    <tableColumn id="3" name="Verify source records"/>
  </tableColumns>
  <tableStyleInfo name="TableStyleMedium2" showRowStripes="0" showColumnStripes="0"/>
</table>
</file>

<file path=xl/tables/table11.xml><?xml version="1.0" encoding="utf-8"?>
<table xmlns="http://schemas.openxmlformats.org/spreadsheetml/2006/main" id="11" name="UnresolvedSourceRegister" displayName="UnresolvedSourceRegister" ref="A3:C11" headerRowCount="1">
  <autoFilter ref="A3:C11"/>
  <tableColumns count="3">
    <tableColumn id="1" name="Affected table / clause"/>
    <tableColumn id="2" name="Why unverified"/>
    <tableColumn id="3" name="Control note"/>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_rels/sheet5.xml.rels><Relationships xmlns="http://schemas.openxmlformats.org/package/2006/relationships"><Relationship Type="http://schemas.openxmlformats.org/officeDocument/2006/relationships/table" Target="/xl/tables/table7.xml" Id="rId1"/></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8.xml" Id="rId2"/><Relationship Type="http://schemas.openxmlformats.org/officeDocument/2006/relationships/table" Target="/xl/tables/table9.xml" Id="rId3"/><Relationship Type="http://schemas.openxmlformats.org/officeDocument/2006/relationships/table" Target="/xl/tables/table10.xml" Id="rId4"/></Relationships>
</file>

<file path=xl/worksheets/_rels/sheet7.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fitToPage="1"/>
  </sheetPr>
  <dimension ref="A1:B24"/>
  <sheetViews>
    <sheetView showGridLines="0"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36" customHeight="1">
      <c r="A1" s="1" t="inlineStr">
        <is>
          <t>SBC 201 Chapter 11 Accessibility — Group R-1 High-Rise Dimensional Requirements Matrix (2024)</t>
        </is>
      </c>
    </row>
    <row r="2" ht="36" customHeight="1">
      <c r="A2" s="2" t="inlineStr">
        <is>
          <t>Source-only architectural advisory matrix for design coordination. It is not a stamped compliance statement, accessibility consultant report, SCD NOC, SBPS approval, legal opinion, or permission to construct.</t>
        </is>
      </c>
    </row>
    <row r="4" ht="28" customHeight="1">
      <c r="A4" s="3" t="inlineStr">
        <is>
          <t>Field</t>
        </is>
      </c>
      <c r="B4" s="3" t="inlineStr">
        <is>
          <t>Value</t>
        </is>
      </c>
    </row>
    <row r="5" ht="56" customHeight="1">
      <c r="A5" s="4" t="inlineStr">
        <is>
          <t>Project basis</t>
        </is>
      </c>
      <c r="B5" s="5" t="inlineStr">
        <is>
          <t>Mixed-use tall building containing Group R-1 (hotel) with Group R-2 residential and Group B office/amenities sharing podium, parking and routes. An occupied floor is stated to be more than 23 m above the relevant reference level. This matrix filters Chapter 11 for the Group R-1 hotel portion.</t>
        </is>
      </c>
    </row>
    <row r="6" ht="40" customHeight="1">
      <c r="A6" s="4" t="inlineStr">
        <is>
          <t>Deliverable tier</t>
        </is>
      </c>
      <c r="B6" s="5" t="inlineStr">
        <is>
          <t>Project-use matrices in Sections 1–17 (design-check rows, not pasted inventory), plus a coverage summary and unresolved-source register. The full row inventory is not published.</t>
        </is>
      </c>
    </row>
    <row r="7" ht="28" customHeight="1">
      <c r="A7" s="4" t="inlineStr">
        <is>
          <t>Code/source basis</t>
        </is>
      </c>
      <c r="B7" s="5" t="inlineStr">
        <is>
          <t>SBC 201 (2024), Chapter 11, source file Reference\SBC 201 2024\source_reference\Chapter_11 — ACCESSIBILITY.txt.</t>
        </is>
      </c>
    </row>
    <row r="8" ht="40" customHeight="1">
      <c r="A8" s="4" t="inlineStr">
        <is>
          <t>Extraction audit</t>
        </is>
      </c>
      <c r="B8" s="5" t="inlineStr">
        <is>
          <t>Internal inventory: 276 independently checkable numeric records (192 Verified, 84 Verify source). Unresolved OCR is listed in the register and is not a design-release value.</t>
        </is>
      </c>
    </row>
    <row r="9" ht="28" customHeight="1">
      <c r="A9" s="4" t="inlineStr">
        <is>
          <t>Model</t>
        </is>
      </c>
      <c r="B9" s="5" t="inlineStr">
        <is>
          <t>Cursor Grok 4.6.</t>
        </is>
      </c>
    </row>
    <row r="10" ht="28" customHeight="1">
      <c r="A10" s="4" t="inlineStr">
        <is>
          <t>Prepared</t>
        </is>
      </c>
      <c r="B10" s="5" t="inlineStr">
        <is>
          <t>2026-08-28.</t>
        </is>
      </c>
    </row>
    <row r="11" ht="40" customHeight="1">
      <c r="A11" s="4" t="inlineStr">
        <is>
          <t>Status</t>
        </is>
      </c>
      <c r="B11" s="5" t="inlineStr">
        <is>
          <t>Source-only architectural advisory matrix for design coordination. It is not a stamped compliance statement, accessibility consultant report, SCD NOC, SBPS approval, legal opinion, or permission to construct.</t>
        </is>
      </c>
    </row>
    <row r="12" ht="56" customHeight="1">
      <c r="A12" s="4" t="inlineStr">
        <is>
          <t>Outbound-source rule</t>
        </is>
      </c>
      <c r="B12" s="5" t="inlineStr">
        <is>
          <t>No value in this matrix has been imported from ICC A117.1, Chapter 10, Chapter 9, Section 403, Chapter 30, SBC 701, SBC 901, HUD/FHAG, ADA, commentary examples, or the chapter summary. Where Chapter 11 sends the user elsewhere, this matrix records the dependency without supplying the outbound value.</t>
        </is>
      </c>
    </row>
    <row r="14">
      <c r="A14" s="6" t="inlineStr">
        <is>
          <t>Scope and assumptions</t>
        </is>
      </c>
    </row>
    <row r="15" ht="28" customHeight="1">
      <c r="A15" s="3" t="inlineStr">
        <is>
          <t>#</t>
        </is>
      </c>
      <c r="B15" s="3" t="inlineStr">
        <is>
          <t>Assumption</t>
        </is>
      </c>
    </row>
    <row r="16" ht="28" customHeight="1">
      <c r="A16" s="7" t="n">
        <v>1</v>
      </c>
      <c r="B16" s="5" t="inlineStr">
        <is>
          <t>Group R-1 and high-rise status are project statements, not independently verified classifications.</t>
        </is>
      </c>
    </row>
    <row r="17" ht="40" customHeight="1">
      <c r="A17" s="8" t="n">
        <v>2</v>
      </c>
      <c r="B17" s="9" t="inlineStr">
        <is>
          <t>The mixed-use podium with Group R-2 and Group B is a project statement. Shared routes, parking, EV, recreation and public entrances must be assigned to an occupancy before a row is used as Direct.</t>
        </is>
      </c>
    </row>
    <row r="18" ht="40" customHeight="1">
      <c r="A18" s="7" t="n">
        <v>3</v>
      </c>
      <c r="B18" s="5" t="inlineStr">
        <is>
          <t>The exact AHJ/permit pathway, project stage and SCD NOC status are unconfirmed; therefore this matrix does not conclude compliance.</t>
        </is>
      </c>
    </row>
    <row r="19" ht="40" customHeight="1">
      <c r="A19" s="8" t="n">
        <v>4</v>
      </c>
      <c r="B19" s="9" t="inlineStr">
        <is>
          <t>Typical transient hotel path is Section 1108.6.1.1 (Accessible units per Table 1108.6.1.1). Type B units apply only where units are intended to be occupied as a residence (1108.6.1.2).</t>
        </is>
      </c>
    </row>
    <row r="20" ht="40" customHeight="1">
      <c r="A20" s="7" t="n">
        <v>5</v>
      </c>
      <c r="B20" s="5" t="inlineStr">
        <is>
          <t>Automatic sprinkler protection is not selected in this chapter extract. Chapter 11 does not branch hotel unit scoping on NFPA 13 versus 13R.</t>
        </is>
      </c>
    </row>
    <row r="21" ht="28" customHeight="1">
      <c r="A21" s="8" t="n">
        <v>6</v>
      </c>
      <c r="B21" s="9" t="inlineStr">
        <is>
          <t>Guestroom count, parking counts/types, valet, banquet/F&amp;B, recreation layouts and EV provision are unconfirmed.</t>
        </is>
      </c>
    </row>
    <row r="22" ht="56" customHeight="1">
      <c r="A22" s="7" t="n">
        <v>7</v>
      </c>
      <c r="B22" s="5" t="inlineStr">
        <is>
          <t>Chapter 11 is scoping. Technical millimetre geometry for accessible routes, doors, toilets, kitchens and Accessible units is ICC A117.1. Charging 1102.1 names ICC A117.1 with no edition year. General Comments name 2009; later commentary discusses 2017 anthropometry. Neither commentary year is adopted as a charging substitution.</t>
        </is>
      </c>
    </row>
    <row r="23" ht="40" customHeight="1">
      <c r="A23" s="8" t="n">
        <v>8</v>
      </c>
      <c r="B23" s="9" t="inlineStr">
        <is>
          <t>All eight appended tables are concatenated OCR. No reconstructed cell is adopted as a design-release value. Affected project-use rows are Verify source.</t>
        </is>
      </c>
    </row>
    <row r="24" ht="40" customHeight="1">
      <c r="A24" s="7" t="n">
        <v>9</v>
      </c>
      <c r="B24" s="5" t="inlineStr">
        <is>
          <t>Group R-2 apartment Type A/B mix, R-2 2-percent parking, and the 1107.2 R-2 EV exemption are not applied to the hotel. See the companion R-2 High-Rise Chapter 11 matrix for the residential tower.</t>
        </is>
      </c>
    </row>
  </sheetData>
  <mergeCells count="3">
    <mergeCell ref="A14:B14"/>
    <mergeCell ref="A2:B2"/>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fitToPage="1"/>
  </sheetPr>
  <dimension ref="A1:B13"/>
  <sheetViews>
    <sheetView showGridLines="0" workbookViewId="0">
      <pane ySplit="2" topLeftCell="A3" activePane="bottomLeft" state="frozen"/>
      <selection pane="bottomLeft" activeCell="A1" sqref="A1"/>
    </sheetView>
  </sheetViews>
  <sheetFormatPr baseColWidth="8" defaultRowHeight="15"/>
  <cols>
    <col width="28" customWidth="1" min="1" max="1"/>
    <col width="100" customWidth="1" min="2" max="2"/>
  </cols>
  <sheetData>
    <row r="1">
      <c r="A1" s="10" t="inlineStr">
        <is>
          <t>Legends</t>
        </is>
      </c>
    </row>
    <row r="3">
      <c r="A3" s="6" t="inlineStr">
        <is>
          <t>Applicability</t>
        </is>
      </c>
    </row>
    <row r="4" ht="28" customHeight="1">
      <c r="A4" s="3" t="inlineStr">
        <is>
          <t>Status</t>
        </is>
      </c>
      <c r="B4" s="3" t="inlineStr">
        <is>
          <t>Meaning</t>
        </is>
      </c>
    </row>
    <row r="5" ht="28" customHeight="1">
      <c r="A5" s="11" t="inlineStr">
        <is>
          <t>Direct</t>
        </is>
      </c>
      <c r="B5" s="12" t="inlineStr">
        <is>
          <t>Expected to govern the stated R-1 hotel basis, subject to confirmed geometry and design data.</t>
        </is>
      </c>
    </row>
    <row r="6" ht="28" customHeight="1">
      <c r="A6" s="13" t="inlineStr">
        <is>
          <t>Conditional</t>
        </is>
      </c>
      <c r="B6" s="9" t="inlineStr">
        <is>
          <t>Governs only when the stated feature, use, occupant load, unit type or mixed-use/podium condition exists.</t>
        </is>
      </c>
    </row>
    <row r="7" ht="40" customHeight="1">
      <c r="A7" s="14" t="inlineStr">
        <is>
          <t>Not typical</t>
        </is>
      </c>
      <c r="B7" s="12" t="inlineStr">
        <is>
          <t>Unrelated occupancy-only rule; omitted from this deliverable unless the gap register already opened that use.</t>
        </is>
      </c>
    </row>
    <row r="8" ht="40" customHeight="1">
      <c r="A8" s="15" t="inlineStr">
        <is>
          <t>External verification</t>
        </is>
      </c>
      <c r="B8" s="9" t="inlineStr">
        <is>
          <t>Chapter 11 points to another section/code/standard, or the project/AHJ basis must be confirmed before use.</t>
        </is>
      </c>
    </row>
    <row r="10">
      <c r="A10" s="6" t="inlineStr">
        <is>
          <t>Source confidence</t>
        </is>
      </c>
    </row>
    <row r="11" ht="28" customHeight="1">
      <c r="A11" s="3" t="inlineStr">
        <is>
          <t>Status</t>
        </is>
      </c>
      <c r="B11" s="3" t="inlineStr">
        <is>
          <t>Meaning</t>
        </is>
      </c>
    </row>
    <row r="12" ht="40" customHeight="1">
      <c r="A12" s="11" t="inlineStr">
        <is>
          <t>Verified</t>
        </is>
      </c>
      <c r="B12" s="12" t="inlineStr">
        <is>
          <t>Requirement and any stated numeric value were checked against unambiguous mandatory Chapter 11 source text.</t>
        </is>
      </c>
    </row>
    <row r="13" ht="28" customHeight="1">
      <c r="A13" s="16" t="inlineStr">
        <is>
          <t>Verify source</t>
        </is>
      </c>
      <c r="B13" s="9" t="inlineStr">
        <is>
          <t>OCR, flattened table, page-split, or footnote attachment is unresolved. Not a design-release value.</t>
        </is>
      </c>
    </row>
  </sheetData>
  <mergeCells count="3">
    <mergeCell ref="A3:B3"/>
    <mergeCell ref="A10:B10"/>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D14"/>
  <sheetViews>
    <sheetView showGridLines="0" workbookViewId="0">
      <pane ySplit="3" topLeftCell="A4" activePane="bottomLeft" state="frozen"/>
      <selection pane="bottomLeft" activeCell="A1" sqref="A1"/>
    </sheetView>
  </sheetViews>
  <sheetFormatPr baseColWidth="8" defaultRowHeight="15"/>
  <cols>
    <col width="32" customWidth="1" min="1" max="1"/>
    <col width="42" customWidth="1" min="2" max="2"/>
    <col width="52" customWidth="1" min="3" max="3"/>
    <col width="48" customWidth="1" min="4" max="4"/>
  </cols>
  <sheetData>
    <row r="1" ht="24" customHeight="1">
      <c r="A1" s="10" t="inlineStr">
        <is>
          <t>Project decision and gap register</t>
        </is>
      </c>
    </row>
    <row r="2" ht="36" customHeight="1">
      <c r="A2" s="17" t="inlineStr">
        <is>
          <t>Decisions that control how Chapter 11 is applied to this mixed-use R-1 hotel.</t>
        </is>
      </c>
    </row>
    <row r="3" ht="28" customHeight="1">
      <c r="A3" s="3" t="inlineStr">
        <is>
          <t>Decision / gap</t>
        </is>
      </c>
      <c r="B3" s="3" t="inlineStr">
        <is>
          <t>Current project basis</t>
        </is>
      </c>
      <c r="C3" s="3" t="inlineStr">
        <is>
          <t>Why it controls Chapter 11 application</t>
        </is>
      </c>
      <c r="D3" s="3" t="inlineStr">
        <is>
          <t>Required project action</t>
        </is>
      </c>
    </row>
    <row r="4" ht="40" customHeight="1">
      <c r="A4" s="12" t="inlineStr">
        <is>
          <t>ICC A117.1 edition</t>
        </is>
      </c>
      <c r="B4" s="12" t="inlineStr">
        <is>
          <t>Charging 1102.1 has no year; General Comments name 2009; commentary discusses 2017</t>
        </is>
      </c>
      <c r="C4" s="12" t="inlineStr">
        <is>
          <t>Controls turning spaces, clear floor space, door manoeuvring, Accessible-unit interiors</t>
        </is>
      </c>
      <c r="D4" s="12" t="inlineStr">
        <is>
          <t>AHJ/code consultant to lock the referenced edition; do not silently switch editions</t>
        </is>
      </c>
    </row>
    <row r="5" ht="40" customHeight="1">
      <c r="A5" s="9" t="inlineStr">
        <is>
          <t>Transient vs extended-stay</t>
        </is>
      </c>
      <c r="B5" s="9" t="inlineStr">
        <is>
          <t>Unconfirmed</t>
        </is>
      </c>
      <c r="C5" s="9" t="inlineStr">
        <is>
          <t>1108.6.1.1 Accessible units always; 1108.6.1.2 Type B only if units are intended as a residence</t>
        </is>
      </c>
      <c r="D5" s="9" t="inlineStr">
        <is>
          <t>Freeze hotel operating model (nightly vs corporate/extended stay) before unit typicals</t>
        </is>
      </c>
    </row>
    <row r="6" ht="56" customHeight="1">
      <c r="A6" s="12" t="inlineStr">
        <is>
          <t>Guestroom count and classes</t>
        </is>
      </c>
      <c r="B6" s="12" t="inlineStr">
        <is>
          <t>Unconfirmed</t>
        </is>
      </c>
      <c r="C6" s="12" t="inlineStr">
        <is>
          <t>Table 1108.6.1.1 quotas; &gt; 50 units per structure counted separately on a multi-building site; dispersion among classes</t>
        </is>
      </c>
      <c r="D6" s="12" t="inlineStr">
        <is>
          <t>Issue a signed key schedule by class (standard, suite, kitchenette, executive)</t>
        </is>
      </c>
    </row>
    <row r="7" ht="56" customHeight="1">
      <c r="A7" s="9" t="inlineStr">
        <is>
          <t>Mixed-use Type B on the same structure</t>
        </is>
      </c>
      <c r="B7" s="9" t="inlineStr">
        <is>
          <t>R-2 Type B units stated on the same building</t>
        </is>
      </c>
      <c r="C7" s="9" t="inlineStr">
        <is>
          <t>1104.1 vehicular-way exception does not apply to buildings containing or serving Type B units</t>
        </is>
      </c>
      <c r="D7" s="9" t="inlineStr">
        <is>
          <t>Provide a pedestrian accessible route from every applicable arrival point; do not use a driveway-only exception</t>
        </is>
      </c>
    </row>
    <row r="8" ht="40" customHeight="1">
      <c r="A8" s="12" t="inlineStr">
        <is>
          <t>Mixed-use power doors</t>
        </is>
      </c>
      <c r="B8" s="12" t="inlineStr">
        <is>
          <t>Table 1105.1.1 lists A-1–A-4, B, M, R-1; footnote uses most restrictive listed load</t>
        </is>
      </c>
      <c r="C8" s="12" t="inlineStr">
        <is>
          <t>Hotel public entrances can be pulled in by Group B/A/M loads even if the hotel load alone is below the table</t>
        </is>
      </c>
      <c r="D8" s="12" t="inlineStr">
        <is>
          <t>Sum listed mixed-use occupant loads after published-source check of the table</t>
        </is>
      </c>
    </row>
    <row r="9" ht="56" customHeight="1">
      <c r="A9" s="9" t="inlineStr">
        <is>
          <t>Parking facility split</t>
        </is>
      </c>
      <c r="B9" s="9" t="inlineStr">
        <is>
          <t>Unconfirmed shared garage</t>
        </is>
      </c>
      <c r="C9" s="9" t="inlineStr">
        <is>
          <t>R-1 uses 1106.3 Item 2 → Table 1106.2, not the R-2 2-percent rule; calculate each parking facility separately (1106.2)</t>
        </is>
      </c>
      <c r="D9" s="9" t="inlineStr">
        <is>
          <t>Produce a parking schedule by facility and occupancy served (hotel, residential, office)</t>
        </is>
      </c>
    </row>
    <row r="10" ht="40" customHeight="1">
      <c r="A10" s="12" t="inlineStr">
        <is>
          <t>Valet / porte-cochère</t>
        </is>
      </c>
      <c r="B10" s="12" t="inlineStr">
        <is>
          <t>Unconfirmed</t>
        </is>
      </c>
      <c r="C10" s="12" t="inlineStr">
        <is>
          <t>1106.9.3 requires an accessible passenger loading zone at valet; 1106.9.1 spaces accessible zones at ≤ 30 m</t>
        </is>
      </c>
      <c r="D10" s="12" t="inlineStr">
        <is>
          <t>Confirm drop-off length and valet operation</t>
        </is>
      </c>
    </row>
    <row r="11" ht="72" customHeight="1">
      <c r="A11" s="9" t="inlineStr">
        <is>
          <t>Recreation serving which occupancy</t>
        </is>
      </c>
      <c r="B11" s="9" t="inlineStr">
        <is>
          <t>Unconfirmed shared pool/gym</t>
        </is>
      </c>
      <c r="C11" s="9" t="inlineStr">
        <is>
          <t>Hotel/office recreation uses 1111.3 (all facilities accessible). R-2 Type A/B uses 1111.2.2 (25% / ≥ 1). 1111.4.14 Ex. 3 water-entry waiver is only on the 1111.2.2/2.3 path</t>
        </is>
      </c>
      <c r="D11" s="9" t="inlineStr">
        <is>
          <t>Map every recreational facility to the occupancies it serves</t>
        </is>
      </c>
    </row>
    <row r="12" ht="40" customHeight="1">
      <c r="A12" s="12" t="inlineStr">
        <is>
          <t>EV charging</t>
        </is>
      </c>
      <c r="B12" s="12" t="inlineStr">
        <is>
          <t>Unconfirmed</t>
        </is>
      </c>
      <c r="C12" s="12" t="inlineStr">
        <is>
          <t>1107.2 exception is R-2, R-3, R-4 only — hotel EV is not exempt</t>
        </is>
      </c>
      <c r="D12" s="12" t="inlineStr">
        <is>
          <t>If hotel or public chargers exist, apply 1107.2.1 / 1107.2.2</t>
        </is>
      </c>
    </row>
    <row r="13" ht="56" customHeight="1">
      <c r="A13" s="9" t="inlineStr">
        <is>
          <t>Occupied roof / amenities</t>
        </is>
      </c>
      <c r="B13" s="9" t="inlineStr">
        <is>
          <t>Unconfirmed</t>
        </is>
      </c>
      <c r="C13" s="9" t="inlineStr">
        <is>
          <t>1104.4 requires an accessible route to each accessible story, mezzanine and occupied roof; 1108.3 common rooms serving Accessible units must be accessible</t>
        </is>
      </c>
      <c r="D13" s="9" t="inlineStr">
        <is>
          <t>Show an accessible route to lobby, F&amp;B, banquet, gym, pool deck and any occupied roof serving the hotel</t>
        </is>
      </c>
    </row>
    <row r="14" ht="56" customHeight="1">
      <c r="A14" s="12" t="inlineStr">
        <is>
          <t>NOC / accessibility consultant</t>
        </is>
      </c>
      <c r="B14" s="12" t="inlineStr">
        <is>
          <t>Unconfirmed</t>
        </is>
      </c>
      <c r="C14" s="12" t="inlineStr">
        <is>
          <t>Technical A117.1 geometry, assisted-evacuation and SCD acceptance cannot be concluded from Chapter 11 scoping alone</t>
        </is>
      </c>
      <c r="D14" s="12" t="inlineStr">
        <is>
          <t>Engage the qualified local accessibility/fire consultants before design freeze</t>
        </is>
      </c>
    </row>
  </sheetData>
  <mergeCells count="2">
    <mergeCell ref="A1:D1"/>
    <mergeCell ref="A2:D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7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26" customWidth="1" min="2" max="2"/>
    <col width="34" customWidth="1" min="3" max="3"/>
    <col width="52" customWidth="1" min="4" max="4"/>
    <col width="36" customWidth="1" min="5" max="5"/>
    <col width="48" customWidth="1" min="6" max="6"/>
    <col width="22" customWidth="1" min="7" max="7"/>
    <col width="48" customWidth="1" min="8" max="8"/>
    <col width="16" customWidth="1" min="9" max="9"/>
  </cols>
  <sheetData>
    <row r="1">
      <c r="A1" s="10" t="inlineStr">
        <is>
          <t>Project-use requirements matrix (Sections 4–15)</t>
        </is>
      </c>
    </row>
    <row r="2" ht="32" customHeight="1">
      <c r="A2" s="17" t="inlineStr">
        <is>
          <t>Design-check rows for the Group R-1 hotel portion. Filter by section, R-1 hotel status, or source confidence. Verify source rows are not design-release values.</t>
        </is>
      </c>
    </row>
    <row r="4" ht="32" customHeight="1">
      <c r="A4" s="3" t="inlineStr">
        <is>
          <t>Section</t>
        </is>
      </c>
      <c r="B4" s="3" t="inlineStr">
        <is>
          <t>Cite</t>
        </is>
      </c>
      <c r="C4" s="3" t="inlineStr">
        <is>
          <t>Component / check</t>
        </is>
      </c>
      <c r="D4" s="3" t="inlineStr">
        <is>
          <t>Exact source requirement / value</t>
        </is>
      </c>
      <c r="E4" s="3" t="inlineStr">
        <is>
          <t>Trigger / condition</t>
        </is>
      </c>
      <c r="F4" s="3" t="inlineStr">
        <is>
          <t>Exceptions / branch</t>
        </is>
      </c>
      <c r="G4" s="3" t="inlineStr">
        <is>
          <t>R-1 hotel status</t>
        </is>
      </c>
      <c r="H4" s="3" t="inlineStr">
        <is>
          <t>Design action</t>
        </is>
      </c>
      <c r="I4" s="3" t="inlineStr">
        <is>
          <t>Source confidence</t>
        </is>
      </c>
    </row>
    <row r="5" ht="40" customHeight="1">
      <c r="A5" s="12" t="inlineStr">
        <is>
          <t>4. Scoping versus technical standard</t>
        </is>
      </c>
      <c r="B5" s="12" t="inlineStr">
        <is>
          <t>1101.1</t>
        </is>
      </c>
      <c r="C5" s="12" t="inlineStr">
        <is>
          <t>Chapter scope</t>
        </is>
      </c>
      <c r="D5" s="12" t="inlineStr">
        <is>
          <t>This chapter controls design and construction of facilities for accessibility</t>
        </is>
      </c>
      <c r="E5" s="12" t="inlineStr">
        <is>
          <t>All facilities in scope</t>
        </is>
      </c>
      <c r="F5" s="12" t="inlineStr">
        <is>
          <t>None stated</t>
        </is>
      </c>
      <c r="G5" s="11" t="inlineStr">
        <is>
          <t>Direct</t>
        </is>
      </c>
      <c r="H5" s="12" t="inlineStr">
        <is>
          <t>Treat Chapter 11 as the scoping document for the hotel and the site elements that serve it</t>
        </is>
      </c>
      <c r="I5" s="11" t="inlineStr">
        <is>
          <t>Verified</t>
        </is>
      </c>
    </row>
    <row r="6" ht="40" customHeight="1">
      <c r="A6" s="9" t="inlineStr">
        <is>
          <t>4. Scoping versus technical standard</t>
        </is>
      </c>
      <c r="B6" s="9" t="inlineStr">
        <is>
          <t>1102.1</t>
        </is>
      </c>
      <c r="C6" s="9" t="inlineStr">
        <is>
          <t>ICC A117.1</t>
        </is>
      </c>
      <c r="D6" s="9" t="inlineStr">
        <is>
          <t>Accessible in accordance with this code and ICC A117.1 (no year)</t>
        </is>
      </c>
      <c r="E6" s="9" t="inlineStr">
        <is>
          <t>All required accessible facilities</t>
        </is>
      </c>
      <c r="F6" s="9" t="inlineStr">
        <is>
          <t>None stated</t>
        </is>
      </c>
      <c r="G6" s="15" t="inlineStr">
        <is>
          <t>External verification</t>
        </is>
      </c>
      <c r="H6" s="9" t="inlineStr">
        <is>
          <t>Lock the A117.1 edition with the AHJ; do not import millimetre geometry here</t>
        </is>
      </c>
      <c r="I6" s="11" t="inlineStr">
        <is>
          <t>Verified</t>
        </is>
      </c>
    </row>
    <row r="7" ht="56" customHeight="1">
      <c r="A7" s="12" t="inlineStr">
        <is>
          <t>4. Scoping versus technical standard</t>
        </is>
      </c>
      <c r="B7" s="12" t="inlineStr">
        <is>
          <t>1108.2</t>
        </is>
      </c>
      <c r="C7" s="12" t="inlineStr">
        <is>
          <t>Unit interiors</t>
        </is>
      </c>
      <c r="D7" s="12" t="inlineStr">
        <is>
          <t>Accessible / Type A / Type B units comply with applicable portions of Chapter 11 of ICC A117.1; higher unit types may substitute</t>
        </is>
      </c>
      <c r="E7" s="12" t="inlineStr">
        <is>
          <t>Required unit types</t>
        </is>
      </c>
      <c r="F7" s="12" t="inlineStr">
        <is>
          <t>Type A may be built as Accessible; Type B as Accessible or Type A</t>
        </is>
      </c>
      <c r="G7" s="15" t="inlineStr">
        <is>
          <t>External verification</t>
        </is>
      </c>
      <c r="H7" s="12" t="inlineStr">
        <is>
          <t>Produce Accessible-guestroom typicals from the referenced A117.1 chapter, not from commentary millimetres</t>
        </is>
      </c>
      <c r="I7" s="11" t="inlineStr">
        <is>
          <t>Verified</t>
        </is>
      </c>
    </row>
    <row r="8" ht="56" customHeight="1">
      <c r="A8" s="9" t="inlineStr">
        <is>
          <t>4. Scoping versus technical standard</t>
        </is>
      </c>
      <c r="B8" s="9" t="inlineStr">
        <is>
          <t>1110.1 Exception</t>
        </is>
      </c>
      <c r="C8" s="9" t="inlineStr">
        <is>
          <t>Unit toilets/kitchens</t>
        </is>
      </c>
      <c r="D8" s="9" t="inlineStr">
        <is>
          <t>Accessible, Type A and Type B units shall comply with Chapter 10 of ICC A117.1</t>
        </is>
      </c>
      <c r="E8" s="9" t="inlineStr">
        <is>
          <t>Those unit types</t>
        </is>
      </c>
      <c r="F8" s="9" t="inlineStr">
        <is>
          <t>1110 otherwise still governs common/public features</t>
        </is>
      </c>
      <c r="G8" s="15" t="inlineStr">
        <is>
          <t>External verification</t>
        </is>
      </c>
      <c r="H8" s="9" t="inlineStr">
        <is>
          <t>Note the source names Chapter 10 here and Chapter 11 at 1108.2; verify the printed A117.1 mapping before detailing</t>
        </is>
      </c>
      <c r="I8" s="11" t="inlineStr">
        <is>
          <t>Verified</t>
        </is>
      </c>
    </row>
    <row r="9" ht="72" customHeight="1">
      <c r="A9" s="12" t="inlineStr">
        <is>
          <t>4. Scoping versus technical standard</t>
        </is>
      </c>
      <c r="B9" s="12" t="inlineStr">
        <is>
          <t>1108.3</t>
        </is>
      </c>
      <c r="C9" s="12" t="inlineStr">
        <is>
          <t>Common rooms serving units</t>
        </is>
      </c>
      <c r="D9" s="12" t="inlineStr">
        <is>
          <t>Rooms and spaces available to the public or residents and serving Accessible, Type A or Type B units shall be accessible, including toilet/bathing, kitchen, living/dining and exterior patios/terraces/balconies</t>
        </is>
      </c>
      <c r="E9" s="12" t="inlineStr">
        <is>
          <t>Amenities serving required units</t>
        </is>
      </c>
      <c r="F9" s="12" t="inlineStr">
        <is>
          <t>1108.4 story exemptions; 1111.2 recreation (R-2/R-3/R-4 path, not the hotel 1111.3 path)</t>
        </is>
      </c>
      <c r="G9" s="11" t="inlineStr">
        <is>
          <t>Direct</t>
        </is>
      </c>
      <c r="H9" s="12" t="inlineStr">
        <is>
          <t>Put lobby, restaurants, banquet, laundry, gym and pool deck on an accessible route serving Accessible guestrooms</t>
        </is>
      </c>
      <c r="I9" s="11" t="inlineStr">
        <is>
          <t>Verified</t>
        </is>
      </c>
    </row>
    <row r="10" ht="40" customHeight="1">
      <c r="A10" s="9" t="inlineStr">
        <is>
          <t>5. General applicability and surviving exceptions</t>
        </is>
      </c>
      <c r="B10" s="9" t="inlineStr">
        <is>
          <t>1103.1</t>
        </is>
      </c>
      <c r="C10" s="9" t="inlineStr">
        <is>
          <t>Default accessibility</t>
        </is>
      </c>
      <c r="D10" s="9" t="inlineStr">
        <is>
          <t>Sites, buildings, structures, facilities, elements and spaces, temporary or permanent, shall be accessible</t>
        </is>
      </c>
      <c r="E10" s="9" t="inlineStr">
        <is>
          <t>All construction</t>
        </is>
      </c>
      <c r="F10" s="9" t="inlineStr">
        <is>
          <t>Only to the extent permitted by 1103.2 / 1104–1112</t>
        </is>
      </c>
      <c r="G10" s="11" t="inlineStr">
        <is>
          <t>Direct</t>
        </is>
      </c>
      <c r="H10" s="9" t="inlineStr">
        <is>
          <t>Assume accessible unless a numbered exception is proven</t>
        </is>
      </c>
      <c r="I10" s="11" t="inlineStr">
        <is>
          <t>Verified</t>
        </is>
      </c>
    </row>
    <row r="11" ht="56" customHeight="1">
      <c r="A11" s="12" t="inlineStr">
        <is>
          <t>5. General applicability and surviving exceptions</t>
        </is>
      </c>
      <c r="B11" s="12" t="inlineStr">
        <is>
          <t>1103.2.2</t>
        </is>
      </c>
      <c r="C11" s="12" t="inlineStr">
        <is>
          <t>Employee work areas</t>
        </is>
      </c>
      <c r="D11" s="12" t="inlineStr">
        <is>
          <t>Approach, enter and exit plus 907.5.2.3.1, 1009 and 1104.3.1 only</t>
        </is>
      </c>
      <c r="E11" s="12" t="inlineStr">
        <is>
          <t>Employee work areas</t>
        </is>
      </c>
      <c r="F11" s="12" t="inlineStr">
        <is>
          <t>Portions &lt; 28 m² and ≥ 175 mm essential level change exempt from all requirements (not courtroom stations)</t>
        </is>
      </c>
      <c r="G11" s="13" t="inlineStr">
        <is>
          <t>Conditional</t>
        </is>
      </c>
      <c r="H11" s="12" t="inlineStr">
        <is>
          <t>Apply to BOH, kitchens, housekeeping and security desks; keep visible alarm and accessible MOE outbound</t>
        </is>
      </c>
      <c r="I11" s="11" t="inlineStr">
        <is>
          <t>Verified</t>
        </is>
      </c>
    </row>
    <row r="12" ht="56" customHeight="1">
      <c r="A12" s="9" t="inlineStr">
        <is>
          <t>5. General applicability and surviving exceptions</t>
        </is>
      </c>
      <c r="B12" s="9" t="inlineStr">
        <is>
          <t>1103.2.9</t>
        </is>
      </c>
      <c r="C12" s="9" t="inlineStr">
        <is>
          <t>Equipment spaces</t>
        </is>
      </c>
      <c r="D12" s="9" t="inlineStr">
        <is>
          <t>Spaces frequented only by service personnel for maintenance, repair or occasional monitoring of equipment are not required to comply with this chapter</t>
        </is>
      </c>
      <c r="E12" s="9" t="inlineStr">
        <is>
          <t>Service-only equipment spaces</t>
        </is>
      </c>
      <c r="F12" s="9" t="inlineStr">
        <is>
          <t>None stated</t>
        </is>
      </c>
      <c r="G12" s="11" t="inlineStr">
        <is>
          <t>Direct</t>
        </is>
      </c>
      <c r="H12" s="9" t="inlineStr">
        <is>
          <t>Do not force an accessible route into elevator pits, penthouses or typical MEP rooms</t>
        </is>
      </c>
      <c r="I12" s="11" t="inlineStr">
        <is>
          <t>Verified</t>
        </is>
      </c>
    </row>
    <row r="13" ht="56" customHeight="1">
      <c r="A13" s="12" t="inlineStr">
        <is>
          <t>5. General applicability and surviving exceptions</t>
        </is>
      </c>
      <c r="B13" s="12" t="inlineStr">
        <is>
          <t>1103.2.14</t>
        </is>
      </c>
      <c r="C13" s="12" t="inlineStr">
        <is>
          <t>Walk-in coolers</t>
        </is>
      </c>
      <c r="D13" s="12" t="inlineStr">
        <is>
          <t>Walk-in cooler and freezer equipment accessed only from employee work areas is not required to comply with this chapter</t>
        </is>
      </c>
      <c r="E13" s="12" t="inlineStr">
        <is>
          <t>BOH coolers</t>
        </is>
      </c>
      <c r="F13" s="12" t="inlineStr">
        <is>
          <t>Public-facing coolers still need operable parts / display on the public side (1110.10.2, 1110.15)</t>
        </is>
      </c>
      <c r="G13" s="13" t="inlineStr">
        <is>
          <t>Conditional</t>
        </is>
      </c>
      <c r="H13" s="12" t="inlineStr">
        <is>
          <t>Exempt kitchen walk-ins; keep front-of-house display coolers in the operable-parts package</t>
        </is>
      </c>
      <c r="I13" s="11" t="inlineStr">
        <is>
          <t>Verified</t>
        </is>
      </c>
    </row>
    <row r="14" ht="56" customHeight="1">
      <c r="A14" s="9" t="inlineStr">
        <is>
          <t>5. General applicability and surviving exceptions</t>
        </is>
      </c>
      <c r="B14" s="9" t="inlineStr">
        <is>
          <t>1104.3.1 Ex. 1</t>
        </is>
      </c>
      <c r="C14" s="9" t="inlineStr">
        <is>
          <t>Small work-area path</t>
        </is>
      </c>
      <c r="D14" s="9" t="inlineStr">
        <is>
          <t>Common-use circulation paths in employee work areas &lt; 100 m² defined by permanent partitions/furnishings need not be accessible routes</t>
        </is>
      </c>
      <c r="E14" s="9" t="inlineStr">
        <is>
          <t>Employee work areas</t>
        </is>
      </c>
      <c r="F14" s="9" t="inlineStr">
        <is>
          <t>Equipment-integral and weather-exposed exterior path exceptions also stated</t>
        </is>
      </c>
      <c r="G14" s="13" t="inlineStr">
        <is>
          <t>Conditional</t>
        </is>
      </c>
      <c r="H14" s="9" t="inlineStr">
        <is>
          <t>Keep an accessible route to the work area; the path through a small defined workstation may be exempt</t>
        </is>
      </c>
      <c r="I14" s="11" t="inlineStr">
        <is>
          <t>Verified</t>
        </is>
      </c>
    </row>
    <row r="15" ht="56" customHeight="1">
      <c r="A15" s="12" t="inlineStr">
        <is>
          <t>6. Accessible routes and stories</t>
        </is>
      </c>
      <c r="B15" s="12" t="inlineStr">
        <is>
          <t>1104.1</t>
        </is>
      </c>
      <c r="C15" s="12" t="inlineStr">
        <is>
          <t>Site arrival route</t>
        </is>
      </c>
      <c r="D15" s="12" t="inlineStr">
        <is>
          <t>At least one accessible route from transit, accessible parking, accessible loading, streets/sidewalks to the accessible entrance</t>
        </is>
      </c>
      <c r="E15" s="12" t="inlineStr">
        <is>
          <t>Site arrival points</t>
        </is>
      </c>
      <c r="F15" s="12" t="inlineStr">
        <is>
          <t>Vehicular-way-only exception does not apply to buildings containing or serving Type B units (R-2 on this mixed-use structure)</t>
        </is>
      </c>
      <c r="G15" s="11" t="inlineStr">
        <is>
          <t>Direct</t>
        </is>
      </c>
      <c r="H15" s="12" t="inlineStr">
        <is>
          <t>Provide a pedestrian accessible route from every applicable arrival point</t>
        </is>
      </c>
      <c r="I15" s="11" t="inlineStr">
        <is>
          <t>Verified</t>
        </is>
      </c>
    </row>
    <row r="16" ht="56" customHeight="1">
      <c r="A16" s="9" t="inlineStr">
        <is>
          <t>6. Accessible routes and stories</t>
        </is>
      </c>
      <c r="B16" s="9" t="inlineStr">
        <is>
          <t>1104.2</t>
        </is>
      </c>
      <c r="C16" s="9" t="inlineStr">
        <is>
          <t>On-site connections</t>
        </is>
      </c>
      <c r="D16" s="9" t="inlineStr">
        <is>
          <t>At least one accessible route connecting accessible buildings, facilities, elements and spaces on the same site</t>
        </is>
      </c>
      <c r="E16" s="9" t="inlineStr">
        <is>
          <t>Multiple accessible elements on one site</t>
        </is>
      </c>
      <c r="F16" s="9" t="inlineStr">
        <is>
          <t>Vehicular-way-only; recreation only as 1111</t>
        </is>
      </c>
      <c r="G16" s="11" t="inlineStr">
        <is>
          <t>Direct</t>
        </is>
      </c>
      <c r="H16" s="9" t="inlineStr">
        <is>
          <t>Connect podium, parking, lobby, F&amp;B and recreation to the same accessible network</t>
        </is>
      </c>
      <c r="I16" s="11" t="inlineStr">
        <is>
          <t>Verified</t>
        </is>
      </c>
    </row>
    <row r="17" ht="56" customHeight="1">
      <c r="A17" s="12" t="inlineStr">
        <is>
          <t>6. Accessible routes and stories</t>
        </is>
      </c>
      <c r="B17" s="12" t="inlineStr">
        <is>
          <t>1104.3</t>
        </is>
      </c>
      <c r="C17" s="12" t="inlineStr">
        <is>
          <t>Connected spaces</t>
        </is>
      </c>
      <c r="D17" s="12" t="inlineStr">
        <is>
          <t>At least one accessible route to each required accessible portion, to accessible entrances connecting accessible walkways, and to the public way</t>
        </is>
      </c>
      <c r="E17" s="12" t="inlineStr">
        <is>
          <t>Building required to be accessible</t>
        </is>
      </c>
      <c r="F17" s="12" t="inlineStr">
        <is>
          <t>1104.4 story skips; assembly levels without wheelchair spaces; courtroom workstations; 1111 recreation</t>
        </is>
      </c>
      <c r="G17" s="11" t="inlineStr">
        <is>
          <t>Direct</t>
        </is>
      </c>
      <c r="H17" s="12" t="inlineStr">
        <is>
          <t>Trace the accessible route from public way through lobby, lifts, guest floors with Accessible units, and amenity floors</t>
        </is>
      </c>
      <c r="I17" s="11" t="inlineStr">
        <is>
          <t>Verified</t>
        </is>
      </c>
    </row>
    <row r="18" ht="72" customHeight="1">
      <c r="A18" s="9" t="inlineStr">
        <is>
          <t>6. Accessible routes and stories</t>
        </is>
      </c>
      <c r="B18" s="9" t="inlineStr">
        <is>
          <t>1104.4</t>
        </is>
      </c>
      <c r="C18" s="9" t="inlineStr">
        <is>
          <t>Multistory / occupied roof</t>
        </is>
      </c>
      <c r="D18" s="9" t="inlineStr">
        <is>
          <t>At least one accessible route shall connect each accessible story, mezzanine and occupied roofs</t>
        </is>
      </c>
      <c r="E18" s="9" t="inlineStr">
        <is>
          <t>Multilevel buildings</t>
        </is>
      </c>
      <c r="F18" s="9" t="inlineStr">
        <is>
          <t>Exception 1 (≤ 279 m² aggregate) does not apply to this elevator high-rise. Exception 2: stories with no 1108/1109 accessible elements need not be served</t>
        </is>
      </c>
      <c r="G18" s="11" t="inlineStr">
        <is>
          <t>Direct</t>
        </is>
      </c>
      <c r="H18" s="9" t="inlineStr">
        <is>
          <t>Serve every story that contains Accessible units, public use or common use serving those units, including occupied roof</t>
        </is>
      </c>
      <c r="I18" s="11" t="inlineStr">
        <is>
          <t>Verified</t>
        </is>
      </c>
    </row>
    <row r="19" ht="88" customHeight="1">
      <c r="A19" s="12" t="inlineStr">
        <is>
          <t>6. Accessible routes and stories</t>
        </is>
      </c>
      <c r="B19" s="12" t="inlineStr">
        <is>
          <t>1104.5</t>
        </is>
      </c>
      <c r="C19" s="12" t="inlineStr">
        <is>
          <t>Route coincidence</t>
        </is>
      </c>
      <c r="D19" s="12" t="inlineStr">
        <is>
          <t>Accessible routes shall coincide with or be in the same area as general circulation; interior circulation requires an interior accessible route; a single accessible route shall not pass through kitchens, storage, restrooms, closets or similar</t>
        </is>
      </c>
      <c r="E19" s="12" t="inlineStr">
        <is>
          <t>Accessible routes</t>
        </is>
      </c>
      <c r="F19" s="12" t="inlineStr">
        <is>
          <t>2. A single route may pass through a kitchen or storage room inside an Accessible, Type A or Type B unit</t>
        </is>
      </c>
      <c r="G19" s="11" t="inlineStr">
        <is>
          <t>Direct</t>
        </is>
      </c>
      <c r="H19" s="12" t="inlineStr">
        <is>
          <t>Keep common accessible routes in public circulation, not through service rooms</t>
        </is>
      </c>
      <c r="I19" s="11" t="inlineStr">
        <is>
          <t>Verified</t>
        </is>
      </c>
    </row>
    <row r="20" ht="88" customHeight="1">
      <c r="A20" s="9" t="inlineStr">
        <is>
          <t>6. Accessible routes and stories</t>
        </is>
      </c>
      <c r="B20" s="9" t="inlineStr">
        <is>
          <t>1108.4</t>
        </is>
      </c>
      <c r="C20" s="9" t="inlineStr">
        <is>
          <t>Route to units</t>
        </is>
      </c>
      <c r="D20" s="9" t="inlineStr">
        <is>
          <t>At least one accessible route shall connect accessible building entrances with the primary entrance of each Accessible, Type A and Type B unit and with interior/exterior spaces serving the units</t>
        </is>
      </c>
      <c r="E20" s="9" t="inlineStr">
        <is>
          <t>Required units</t>
        </is>
      </c>
      <c r="F20" s="9" t="inlineStr">
        <is>
          <t>5. In Group R-1, a route is not required to connect stories within an individual unit if the accessible level is an Accessible unit and provides sleeping for two persons minimum and a toilet on that level. 7. Type B stories exempted by 1108.7</t>
        </is>
      </c>
      <c r="G20" s="11" t="inlineStr">
        <is>
          <t>Direct</t>
        </is>
      </c>
      <c r="H20" s="9" t="inlineStr">
        <is>
          <t>Serve every Accessible guestroom entrance from an accessible building entrance. Do not use Exception 5 to skip hotel stories</t>
        </is>
      </c>
      <c r="I20" s="11" t="inlineStr">
        <is>
          <t>Verified</t>
        </is>
      </c>
    </row>
    <row r="21" ht="56" customHeight="1">
      <c r="A21" s="12" t="inlineStr">
        <is>
          <t>6. Accessible routes and stories</t>
        </is>
      </c>
      <c r="B21" s="12" t="inlineStr">
        <is>
          <t>1104.6</t>
        </is>
      </c>
      <c r="C21" s="12" t="inlineStr">
        <is>
          <t>Security barriers</t>
        </is>
      </c>
      <c r="D21" s="12" t="inlineStr">
        <is>
          <t>Security barriers shall not obstruct a required accessible route or accessible means of egress</t>
        </is>
      </c>
      <c r="E21" s="12" t="inlineStr">
        <is>
          <t>Bollards, checkpoints</t>
        </is>
      </c>
      <c r="F21" s="12" t="inlineStr">
        <is>
          <t>Adjacent route permitted around devices that cannot comply (metal detectors), with visual contact of personal items</t>
        </is>
      </c>
      <c r="G21" s="13" t="inlineStr">
        <is>
          <t>Conditional</t>
        </is>
      </c>
      <c r="H21" s="12" t="inlineStr">
        <is>
          <t>If a lobby security line exists, provide an adjacent accessible path that keeps bags in view</t>
        </is>
      </c>
      <c r="I21" s="11" t="inlineStr">
        <is>
          <t>Verified</t>
        </is>
      </c>
    </row>
    <row r="22" ht="40" customHeight="1">
      <c r="A22" s="9" t="inlineStr">
        <is>
          <t>7. Entrances</t>
        </is>
      </c>
      <c r="B22" s="9" t="inlineStr">
        <is>
          <t>1105.1</t>
        </is>
      </c>
      <c r="C22" s="9" t="inlineStr">
        <is>
          <t>Public entrances</t>
        </is>
      </c>
      <c r="D22" s="9" t="inlineStr">
        <is>
          <t>At least 60 percent of all public entrances shall be accessible, in addition to 1105.1.2–1105.1.8</t>
        </is>
      </c>
      <c r="E22" s="9" t="inlineStr">
        <is>
          <t>Public entrances</t>
        </is>
      </c>
      <c r="F22" s="9" t="inlineStr">
        <is>
          <t>Areas not required to be accessible; loading/service entrances that are not the only tenant entrance</t>
        </is>
      </c>
      <c r="G22" s="11" t="inlineStr">
        <is>
          <t>Direct</t>
        </is>
      </c>
      <c r="H22" s="9" t="inlineStr">
        <is>
          <t>Count public doors (not egress-only doors) and make ≥ 60% accessible</t>
        </is>
      </c>
      <c r="I22" s="11" t="inlineStr">
        <is>
          <t>Verified</t>
        </is>
      </c>
    </row>
    <row r="23" ht="72" customHeight="1">
      <c r="A23" s="12" t="inlineStr">
        <is>
          <t>7. Entrances</t>
        </is>
      </c>
      <c r="B23" s="12" t="inlineStr">
        <is>
          <t>1105.1.1 / Table 1105.1.1</t>
        </is>
      </c>
      <c r="C23" s="12" t="inlineStr">
        <is>
          <t>Power-operated public entrance</t>
        </is>
      </c>
      <c r="D23" s="12" t="inlineStr">
        <is>
          <t>One full-power or low-energy power-operated door at each required accessible public entrance when occupancy and building occupant load exceed the table; vestibule: one leaf in and one leaf out</t>
        </is>
      </c>
      <c r="E23" s="12" t="inlineStr">
        <is>
          <t>Table lists Groups A-1–A-4 and B, M, R-1. Mixed-use uses the most restrictive listed load</t>
        </is>
      </c>
      <c r="F23" s="12" t="inlineStr">
        <is>
          <t>Flattened OCR occupant-load cells are not adopted</t>
        </is>
      </c>
      <c r="G23" s="11" t="inlineStr">
        <is>
          <t>Direct</t>
        </is>
      </c>
      <c r="H23" s="12" t="inlineStr">
        <is>
          <t>Power-operate accessible hotel public entrances once the published R-1/B/M/A load is confirmed; mixed-use may use the most restrictive listed load</t>
        </is>
      </c>
      <c r="I23" s="16" t="inlineStr">
        <is>
          <t>Verify source</t>
        </is>
      </c>
    </row>
    <row r="24" ht="40" customHeight="1">
      <c r="A24" s="9" t="inlineStr">
        <is>
          <t>7. Entrances</t>
        </is>
      </c>
      <c r="B24" s="9" t="inlineStr">
        <is>
          <t>1105.1.2</t>
        </is>
      </c>
      <c r="C24" s="9" t="inlineStr">
        <is>
          <t>Parking-garage entrance</t>
        </is>
      </c>
      <c r="D24" s="9" t="inlineStr">
        <is>
          <t>Direct pedestrian access from parking structures to building/facility entrances shall be accessible</t>
        </is>
      </c>
      <c r="E24" s="9" t="inlineStr">
        <is>
          <t>Direct garage-to-building pedestrian access</t>
        </is>
      </c>
      <c r="F24" s="9" t="inlineStr">
        <is>
          <t>None stated</t>
        </is>
      </c>
      <c r="G24" s="11" t="inlineStr">
        <is>
          <t>Direct</t>
        </is>
      </c>
      <c r="H24" s="9" t="inlineStr">
        <is>
          <t>Provide an accessible pedestrian door from the parking structure into the hotel lobby</t>
        </is>
      </c>
      <c r="I24" s="11" t="inlineStr">
        <is>
          <t>Verified</t>
        </is>
      </c>
    </row>
    <row r="25" ht="40" customHeight="1">
      <c r="A25" s="12" t="inlineStr">
        <is>
          <t>7. Entrances</t>
        </is>
      </c>
      <c r="B25" s="12" t="inlineStr">
        <is>
          <t>1105.1.3</t>
        </is>
      </c>
      <c r="C25" s="12" t="inlineStr">
        <is>
          <t>Tunnel / walkway entrance</t>
        </is>
      </c>
      <c r="D25" s="12" t="inlineStr">
        <is>
          <t>At least one accessible entrance from each pedestrian tunnel or elevated walkway</t>
        </is>
      </c>
      <c r="E25" s="12" t="inlineStr">
        <is>
          <t>Direct pedestrian access from those links</t>
        </is>
      </c>
      <c r="F25" s="12" t="inlineStr">
        <is>
          <t>None stated</t>
        </is>
      </c>
      <c r="G25" s="13" t="inlineStr">
        <is>
          <t>Conditional</t>
        </is>
      </c>
      <c r="H25" s="12" t="inlineStr">
        <is>
          <t>If a podium link bridge exists, make at least one door from it accessible</t>
        </is>
      </c>
      <c r="I25" s="11" t="inlineStr">
        <is>
          <t>Verified</t>
        </is>
      </c>
    </row>
    <row r="26" ht="40" customHeight="1">
      <c r="A26" s="9" t="inlineStr">
        <is>
          <t>7. Entrances</t>
        </is>
      </c>
      <c r="B26" s="9" t="inlineStr">
        <is>
          <t>1105.1.4</t>
        </is>
      </c>
      <c r="C26" s="9" t="inlineStr">
        <is>
          <t>Restricted entrance</t>
        </is>
      </c>
      <c r="D26" s="9" t="inlineStr">
        <is>
          <t>At least one restricted entrance shall be accessible</t>
        </is>
      </c>
      <c r="E26" s="9" t="inlineStr">
        <is>
          <t>Restricted (security-controlled) entrances</t>
        </is>
      </c>
      <c r="F26" s="9" t="inlineStr">
        <is>
          <t>Key-card staff doors that are not “restricted entrances” are not this section</t>
        </is>
      </c>
      <c r="G26" s="13" t="inlineStr">
        <is>
          <t>Conditional</t>
        </is>
      </c>
      <c r="H26" s="9" t="inlineStr">
        <is>
          <t>If a members-only or staff-secure hotel entry exists, make at least one of that type accessible</t>
        </is>
      </c>
      <c r="I26" s="11" t="inlineStr">
        <is>
          <t>Verified</t>
        </is>
      </c>
    </row>
    <row r="27" ht="56" customHeight="1">
      <c r="A27" s="12" t="inlineStr">
        <is>
          <t>7. Entrances</t>
        </is>
      </c>
      <c r="B27" s="12" t="inlineStr">
        <is>
          <t>1105.1.7</t>
        </is>
      </c>
      <c r="C27" s="12" t="inlineStr">
        <is>
          <t>Tenant entrance</t>
        </is>
      </c>
      <c r="D27" s="12" t="inlineStr">
        <is>
          <t>At least one accessible entrance to each tenant in a facility</t>
        </is>
      </c>
      <c r="E27" s="12" t="inlineStr">
        <is>
          <t>Multi-tenant facility</t>
        </is>
      </c>
      <c r="F27" s="12" t="inlineStr">
        <is>
          <t>Self-service storage not required to be accessible</t>
        </is>
      </c>
      <c r="G27" s="13" t="inlineStr">
        <is>
          <t>Conditional</t>
        </is>
      </c>
      <c r="H27" s="12" t="inlineStr">
        <is>
          <t>If podium tenancies exist, give each tenant an accessible entrance in addition to the 60% building count</t>
        </is>
      </c>
      <c r="I27" s="11" t="inlineStr">
        <is>
          <t>Verified</t>
        </is>
      </c>
    </row>
    <row r="28" ht="40" customHeight="1">
      <c r="A28" s="9" t="inlineStr">
        <is>
          <t>7. Entrances</t>
        </is>
      </c>
      <c r="B28" s="9" t="inlineStr">
        <is>
          <t>1105.1.8</t>
        </is>
      </c>
      <c r="C28" s="9" t="inlineStr">
        <is>
          <t>Unit entrance</t>
        </is>
      </c>
      <c r="D28" s="9" t="inlineStr">
        <is>
          <t>At least one accessible entrance to each dwelling/sleeping unit</t>
        </is>
      </c>
      <c r="E28" s="9" t="inlineStr">
        <is>
          <t>Dwelling and sleeping units</t>
        </is>
      </c>
      <c r="F28" s="9" t="inlineStr">
        <is>
          <t>Not required to units that are not Accessible, Type A or Type B</t>
        </is>
      </c>
      <c r="G28" s="11" t="inlineStr">
        <is>
          <t>Direct</t>
        </is>
      </c>
      <c r="H28" s="9" t="inlineStr">
        <is>
          <t>Every Accessible guestroom gets an accessible entrance; shared lobby doors still count toward 60%</t>
        </is>
      </c>
      <c r="I28" s="11" t="inlineStr">
        <is>
          <t>Verified</t>
        </is>
      </c>
    </row>
    <row r="29" ht="56" customHeight="1">
      <c r="A29" s="12" t="inlineStr">
        <is>
          <t>8. Parking, vans and passenger loading</t>
        </is>
      </c>
      <c r="B29" s="12" t="inlineStr">
        <is>
          <t>1106.3 Item 2</t>
        </is>
      </c>
      <c r="C29" s="12" t="inlineStr">
        <is>
          <t>R-1 accessible parking</t>
        </is>
      </c>
      <c r="D29" s="12" t="inlineStr">
        <is>
          <t>In Group I-1 and R-1 occupancies, accessible parking shall be provided in accordance with Table 1106.2</t>
        </is>
      </c>
      <c r="E29" s="12" t="inlineStr">
        <is>
          <t>R-1 parking</t>
        </is>
      </c>
      <c r="F29" s="12" t="inlineStr">
        <is>
          <t>Table 1106.2 is flattened OCR. Do not use the R-2 2 percent rule (Item 1)</t>
        </is>
      </c>
      <c r="G29" s="11" t="inlineStr">
        <is>
          <t>Direct</t>
        </is>
      </c>
      <c r="H29" s="12" t="inlineStr">
        <is>
          <t>Size hotel accessible stalls from the published Table 1106.2 after source check; calculate each parking facility separately (1106.2)</t>
        </is>
      </c>
      <c r="I29" s="16" t="inlineStr">
        <is>
          <t>Verify source</t>
        </is>
      </c>
    </row>
    <row r="30" ht="40" customHeight="1">
      <c r="A30" s="9" t="inlineStr">
        <is>
          <t>8. Parking, vans and passenger loading</t>
        </is>
      </c>
      <c r="B30" s="9" t="inlineStr">
        <is>
          <t>Table 1106.2</t>
        </is>
      </c>
      <c r="C30" s="9" t="inlineStr">
        <is>
          <t>General parking table</t>
        </is>
      </c>
      <c r="D30" s="9" t="inlineStr">
        <is>
          <t>Flattened OCR table; no reconstructed stall-count cell is adopted</t>
        </is>
      </c>
      <c r="E30" s="9" t="inlineStr">
        <is>
          <t>Parking facilities using 1106.2</t>
        </is>
      </c>
      <c r="F30" s="9" t="inlineStr">
        <is>
          <t>R-1 uses this table via 1106.3 Item 2</t>
        </is>
      </c>
      <c r="G30" s="11" t="inlineStr">
        <is>
          <t>Direct</t>
        </is>
      </c>
      <c r="H30" s="9" t="inlineStr">
        <is>
          <t>Hold stall counts until the published table is verified; do not reconstruct concatenated cells</t>
        </is>
      </c>
      <c r="I30" s="16" t="inlineStr">
        <is>
          <t>Verify source</t>
        </is>
      </c>
    </row>
    <row r="31" ht="72" customHeight="1">
      <c r="A31" s="12" t="inlineStr">
        <is>
          <t>8. Parking, vans and passenger loading</t>
        </is>
      </c>
      <c r="B31" s="12" t="inlineStr">
        <is>
          <t>1106.3 Item 3</t>
        </is>
      </c>
      <c r="C31" s="12" t="inlineStr">
        <is>
          <t>1:1 parking vs Accessible units</t>
        </is>
      </c>
      <c r="D31" s="12" t="inlineStr">
        <is>
          <t>Where at least one parking space is provided for each dwelling/sleeping unit, at least one accessible parking space shall be provided for each Accessible and Type A unit</t>
        </is>
      </c>
      <c r="E31" s="12" t="inlineStr">
        <is>
          <t>Parking provided at ≥ 1 space per unit</t>
        </is>
      </c>
      <c r="F31" s="12" t="inlineStr">
        <is>
          <t>Code does not state that Item 2 and Item 3 are additive</t>
        </is>
      </c>
      <c r="G31" s="13" t="inlineStr">
        <is>
          <t>Conditional</t>
        </is>
      </c>
      <c r="H31" s="12" t="inlineStr">
        <is>
          <t>If assigned 1:1 hotel parking exists, provide an accessible stall for every Accessible guestroom and compare with Table 1106.2</t>
        </is>
      </c>
      <c r="I31" s="11" t="inlineStr">
        <is>
          <t>Verified</t>
        </is>
      </c>
    </row>
    <row r="32" ht="56" customHeight="1">
      <c r="A32" s="9" t="inlineStr">
        <is>
          <t>8. Parking, vans and passenger loading</t>
        </is>
      </c>
      <c r="B32" s="9" t="inlineStr">
        <is>
          <t>1106.3 Item 4</t>
        </is>
      </c>
      <c r="C32" s="9" t="inlineStr">
        <is>
          <t>In-building parking</t>
        </is>
      </c>
      <c r="D32" s="9" t="inlineStr">
        <is>
          <t>Where parking is within or beneath a building, accessible parking shall also be within or beneath the building</t>
        </is>
      </c>
      <c r="E32" s="9" t="inlineStr">
        <is>
          <t>Parking in/under the building</t>
        </is>
      </c>
      <c r="F32" s="9" t="inlineStr">
        <is>
          <t>None stated</t>
        </is>
      </c>
      <c r="G32" s="11" t="inlineStr">
        <is>
          <t>Direct</t>
        </is>
      </c>
      <c r="H32" s="9" t="inlineStr">
        <is>
          <t>Put accessible stalls in the podium/basement garage, not only on the surface lot</t>
        </is>
      </c>
      <c r="I32" s="11" t="inlineStr">
        <is>
          <t>Verified</t>
        </is>
      </c>
    </row>
    <row r="33" ht="40" customHeight="1">
      <c r="A33" s="12" t="inlineStr">
        <is>
          <t>8. Parking, vans and passenger loading</t>
        </is>
      </c>
      <c r="B33" s="12" t="inlineStr">
        <is>
          <t>1106.6</t>
        </is>
      </c>
      <c r="C33" s="12" t="inlineStr">
        <is>
          <t>Van spaces</t>
        </is>
      </c>
      <c r="D33" s="12" t="inlineStr">
        <is>
          <t>For every six or fraction of six accessible parking spaces, at least one shall be van-accessible</t>
        </is>
      </c>
      <c r="E33" s="12" t="inlineStr">
        <is>
          <t>Accessible parking provided</t>
        </is>
      </c>
      <c r="F33" s="12" t="inlineStr">
        <is>
          <t>2100 mm van-height reduction is Group U private garages serving R-2 and R-3 only — not R-1</t>
        </is>
      </c>
      <c r="G33" s="11" t="inlineStr">
        <is>
          <t>Direct</t>
        </is>
      </c>
      <c r="H33" s="12" t="inlineStr">
        <is>
          <t>Provide 1-in-6 vans; do not use the 2100 mm R-2/R-3 garage exception for hotel stalls</t>
        </is>
      </c>
      <c r="I33" s="11" t="inlineStr">
        <is>
          <t>Verified</t>
        </is>
      </c>
    </row>
    <row r="34" ht="40" customHeight="1">
      <c r="A34" s="9" t="inlineStr">
        <is>
          <t>8. Parking, vans and passenger loading</t>
        </is>
      </c>
      <c r="B34" s="9" t="inlineStr">
        <is>
          <t>1106.7 Ex. 1</t>
        </is>
      </c>
      <c r="C34" s="9" t="inlineStr">
        <is>
          <t>Van-space level</t>
        </is>
      </c>
      <c r="D34" s="9" t="inlineStr">
        <is>
          <t>In multilevel parking structures, van-accessible parking spaces are permitted on one level</t>
        </is>
      </c>
      <c r="E34" s="9" t="inlineStr">
        <is>
          <t>Multilevel parking</t>
        </is>
      </c>
      <c r="F34" s="9" t="inlineStr">
        <is>
          <t>Accessible spaces still dispersed; van-height millimetres are A117.1 (not imported)</t>
        </is>
      </c>
      <c r="G34" s="11" t="inlineStr">
        <is>
          <t>Direct</t>
        </is>
      </c>
      <c r="H34" s="9" t="inlineStr">
        <is>
          <t>Concentrate van stalls on the level that can provide the A117.1 van clearance</t>
        </is>
      </c>
      <c r="I34" s="11" t="inlineStr">
        <is>
          <t>Verified</t>
        </is>
      </c>
    </row>
    <row r="35" ht="40" customHeight="1">
      <c r="A35" s="12" t="inlineStr">
        <is>
          <t>8. Parking, vans and passenger loading</t>
        </is>
      </c>
      <c r="B35" s="12" t="inlineStr">
        <is>
          <t>1106.9.1</t>
        </is>
      </c>
      <c r="C35" s="12" t="inlineStr">
        <is>
          <t>Continuous loading zone</t>
        </is>
      </c>
      <c r="D35" s="12" t="inlineStr">
        <is>
          <t>One accessible passenger loading zone in every continuous 30 m maximum</t>
        </is>
      </c>
      <c r="E35" s="12" t="inlineStr">
        <is>
          <t>Passenger loading zones provided</t>
        </is>
      </c>
      <c r="F35" s="12" t="inlineStr">
        <is>
          <t>None stated</t>
        </is>
      </c>
      <c r="G35" s="13" t="inlineStr">
        <is>
          <t>Conditional</t>
        </is>
      </c>
      <c r="H35" s="12" t="inlineStr">
        <is>
          <t>If a porte-cochère exists, space accessible zones at ≤ 30 m</t>
        </is>
      </c>
      <c r="I35" s="11" t="inlineStr">
        <is>
          <t>Verified</t>
        </is>
      </c>
    </row>
    <row r="36" ht="40" customHeight="1">
      <c r="A36" s="9" t="inlineStr">
        <is>
          <t>8. Parking, vans and passenger loading</t>
        </is>
      </c>
      <c r="B36" s="9" t="inlineStr">
        <is>
          <t>1106.9.3</t>
        </is>
      </c>
      <c r="C36" s="9" t="inlineStr">
        <is>
          <t>Valet loading zone</t>
        </is>
      </c>
      <c r="D36" s="9" t="inlineStr">
        <is>
          <t>A passenger loading zone shall be provided at valet parking services</t>
        </is>
      </c>
      <c r="E36" s="9" t="inlineStr">
        <is>
          <t>Valet parking</t>
        </is>
      </c>
      <c r="F36" s="9" t="inlineStr">
        <is>
          <t>Valet does not delete accessible parking</t>
        </is>
      </c>
      <c r="G36" s="13" t="inlineStr">
        <is>
          <t>Conditional</t>
        </is>
      </c>
      <c r="H36" s="9" t="inlineStr">
        <is>
          <t>If valet is offered, provide an accessible drop-off; still provide 1106 parking</t>
        </is>
      </c>
      <c r="I36" s="11" t="inlineStr">
        <is>
          <t>Verified</t>
        </is>
      </c>
    </row>
    <row r="37" ht="40" customHeight="1">
      <c r="A37" s="12" t="inlineStr">
        <is>
          <t>8. Parking, vans and passenger loading</t>
        </is>
      </c>
      <c r="B37" s="12" t="inlineStr">
        <is>
          <t>1112.1 Item 2</t>
        </is>
      </c>
      <c r="C37" s="12" t="inlineStr">
        <is>
          <t>Hotel stall identification</t>
        </is>
      </c>
      <c r="D37" s="12" t="inlineStr">
        <is>
          <t>Accessible parking required by 1106.3 shall be identified by the ISA</t>
        </is>
      </c>
      <c r="E37" s="12" t="inlineStr">
        <is>
          <t>1106.3 accessible spaces</t>
        </is>
      </c>
      <c r="F37" s="12" t="inlineStr">
        <is>
          <t>Assigned-stall identification exception is I-1, R-2, R-3, R-4 only — not R-1</t>
        </is>
      </c>
      <c r="G37" s="11" t="inlineStr">
        <is>
          <t>Direct</t>
        </is>
      </c>
      <c r="H37" s="12" t="inlineStr">
        <is>
          <t>Sign every required hotel accessible stall; do not use the R-2 assigned-space signage exception</t>
        </is>
      </c>
      <c r="I37" s="11" t="inlineStr">
        <is>
          <t>Verified</t>
        </is>
      </c>
    </row>
    <row r="38" ht="40" customHeight="1">
      <c r="A38" s="9" t="inlineStr">
        <is>
          <t>9. Electrical vehicle charging</t>
        </is>
      </c>
      <c r="B38" s="9" t="inlineStr">
        <is>
          <t>1107.2 Exception</t>
        </is>
      </c>
      <c r="C38" s="9" t="inlineStr">
        <is>
          <t>R-2 EV exemption (not R-1)</t>
        </is>
      </c>
      <c r="D38" s="9" t="inlineStr">
        <is>
          <t>EV charging stations provided to serve Groups R-2, R-3 and R-4 are not required to comply with 1107.2</t>
        </is>
      </c>
      <c r="E38" s="9" t="inlineStr">
        <is>
          <t>EV serving those occupancies</t>
        </is>
      </c>
      <c r="F38" s="9" t="inlineStr">
        <is>
          <t>Group R-1 is not listed</t>
        </is>
      </c>
      <c r="G38" s="11" t="inlineStr">
        <is>
          <t>Direct</t>
        </is>
      </c>
      <c r="H38" s="9" t="inlineStr">
        <is>
          <t>Do not apply the residential EV exemption to hotel or public chargers</t>
        </is>
      </c>
      <c r="I38" s="11" t="inlineStr">
        <is>
          <t>Verified</t>
        </is>
      </c>
    </row>
    <row r="39" ht="56" customHeight="1">
      <c r="A39" s="12" t="inlineStr">
        <is>
          <t>9. Electrical vehicle charging</t>
        </is>
      </c>
      <c r="B39" s="12" t="inlineStr">
        <is>
          <t>1107.2.1</t>
        </is>
      </c>
      <c r="C39" s="12" t="inlineStr">
        <is>
          <t>Accessible EV count</t>
        </is>
      </c>
      <c r="D39" s="12" t="inlineStr">
        <is>
          <t>Not less than 5 percent of vehicle spaces served by EV systems, but not fewer than one of each type, shall be accessible</t>
        </is>
      </c>
      <c r="E39" s="12" t="inlineStr">
        <is>
          <t>EV systems not covered by the R-2/R-3/R-4 serving exception</t>
        </is>
      </c>
      <c r="F39" s="12" t="inlineStr">
        <is>
          <t>None stated beyond 1107.2</t>
        </is>
      </c>
      <c r="G39" s="13" t="inlineStr">
        <is>
          <t>Conditional</t>
        </is>
      </c>
      <c r="H39" s="12" t="inlineStr">
        <is>
          <t>If hotel or podium/public chargers exist, reserve 5% (≥ 1 of each charger type)</t>
        </is>
      </c>
      <c r="I39" s="11" t="inlineStr">
        <is>
          <t>Verified</t>
        </is>
      </c>
    </row>
    <row r="40" ht="40" customHeight="1">
      <c r="A40" s="9" t="inlineStr">
        <is>
          <t>9. Electrical vehicle charging</t>
        </is>
      </c>
      <c r="B40" s="9" t="inlineStr">
        <is>
          <t>1107.2.2</t>
        </is>
      </c>
      <c r="C40" s="9" t="inlineStr">
        <is>
          <t>Accessible EV stall size</t>
        </is>
      </c>
      <c r="D40" s="9" t="inlineStr">
        <is>
          <t>3300 mm minimum vehicle-space width with adjoining access aisle 1500 mm minimum</t>
        </is>
      </c>
      <c r="E40" s="9" t="inlineStr">
        <is>
          <t>Accessible EV spaces required by 1107.2.1</t>
        </is>
      </c>
      <c r="F40" s="9" t="inlineStr">
        <is>
          <t>None stated</t>
        </is>
      </c>
      <c r="G40" s="13" t="inlineStr">
        <is>
          <t>Conditional</t>
        </is>
      </c>
      <c r="H40" s="9" t="inlineStr">
        <is>
          <t>Do not substitute a narrower A117.1 van option; this section specifies 3300 + 1500</t>
        </is>
      </c>
      <c r="I40" s="11" t="inlineStr">
        <is>
          <t>Verified</t>
        </is>
      </c>
    </row>
    <row r="41" ht="72" customHeight="1">
      <c r="A41" s="12" t="inlineStr">
        <is>
          <t>10. Sleeping-unit mix (Accessible / Type B)</t>
        </is>
      </c>
      <c r="B41" s="12" t="inlineStr">
        <is>
          <t>1108.6.1.1</t>
        </is>
      </c>
      <c r="C41" s="12" t="inlineStr">
        <is>
          <t>Accessible-unit site vs structure</t>
        </is>
      </c>
      <c r="D41" s="12" t="inlineStr">
        <is>
          <t>Accessible units per Table 1108.6.1.1. Multi-building site: structures &gt; 50 units counted per structure; structures ≤ 50 units counted site-wide. Disperse among classes of units</t>
        </is>
      </c>
      <c r="E41" s="12" t="inlineStr">
        <is>
          <t>Group R-1 dwelling/sleeping units</t>
        </is>
      </c>
      <c r="F41" s="12" t="inlineStr">
        <is>
          <t>1103.2.11 (≤ five sleeping units + proprietor residence) is not this tall hotel</t>
        </is>
      </c>
      <c r="G41" s="11" t="inlineStr">
        <is>
          <t>Direct</t>
        </is>
      </c>
      <c r="H41" s="12" t="inlineStr">
        <is>
          <t>Count guestrooms on the signed key schedule; use the 50-unit split if more than one hotel structure exists</t>
        </is>
      </c>
      <c r="I41" s="11" t="inlineStr">
        <is>
          <t>Verified</t>
        </is>
      </c>
    </row>
    <row r="42" ht="56" customHeight="1">
      <c r="A42" s="9" t="inlineStr">
        <is>
          <t>10. Sleeping-unit mix (Accessible / Type B)</t>
        </is>
      </c>
      <c r="B42" s="9" t="inlineStr">
        <is>
          <t>Table 1108.6.1.1</t>
        </is>
      </c>
      <c r="C42" s="9" t="inlineStr">
        <is>
          <t>Accessible-unit quotas</t>
        </is>
      </c>
      <c r="D42" s="9" t="inlineStr">
        <is>
          <t>Flattened OCR table (without roll-in / with roll-in / total). No reconstructed cell is adopted</t>
        </is>
      </c>
      <c r="E42" s="9" t="inlineStr">
        <is>
          <t>Group R-1 Accessible units</t>
        </is>
      </c>
      <c r="F42" s="9" t="inlineStr">
        <is>
          <t>Applies also to congregate R-2 (not this hotel path)</t>
        </is>
      </c>
      <c r="G42" s="11" t="inlineStr">
        <is>
          <t>Direct</t>
        </is>
      </c>
      <c r="H42" s="9" t="inlineStr">
        <is>
          <t>Provide Accessible guestrooms, including the published roll-in-shower split, only after source check of the table</t>
        </is>
      </c>
      <c r="I42" s="16" t="inlineStr">
        <is>
          <t>Verify source</t>
        </is>
      </c>
    </row>
    <row r="43" ht="56" customHeight="1">
      <c r="A43" s="12" t="inlineStr">
        <is>
          <t>10. Sleeping-unit mix (Accessible / Type B)</t>
        </is>
      </c>
      <c r="B43" s="12" t="inlineStr">
        <is>
          <t>1108.6.1.2</t>
        </is>
      </c>
      <c r="C43" s="12" t="inlineStr">
        <is>
          <t>Type B extended stay</t>
        </is>
      </c>
      <c r="D43" s="12" t="inlineStr">
        <is>
          <t>In structures with four or more dwelling/sleeping units intended to be occupied as a residence, every such unit shall be Type B</t>
        </is>
      </c>
      <c r="E43" s="12" t="inlineStr">
        <is>
          <t>Units intended as a residence</t>
        </is>
      </c>
      <c r="F43" s="12" t="inlineStr">
        <is>
          <t>Reduction permitted per 1108.7. Typical transient hotel is not this trigger</t>
        </is>
      </c>
      <c r="G43" s="13" t="inlineStr">
        <is>
          <t>Conditional</t>
        </is>
      </c>
      <c r="H43" s="12" t="inlineStr">
        <is>
          <t>If corporate/extended-stay product is intended as a residence, make every such unit Type B (Accessible units already exceed Type B)</t>
        </is>
      </c>
      <c r="I43" s="11" t="inlineStr">
        <is>
          <t>Verified</t>
        </is>
      </c>
    </row>
    <row r="44" ht="56" customHeight="1">
      <c r="A44" s="9" t="inlineStr">
        <is>
          <t>10. Sleeping-unit mix (Accessible / Type B)</t>
        </is>
      </c>
      <c r="B44" s="9" t="inlineStr">
        <is>
          <t>1108.7.3</t>
        </is>
      </c>
      <c r="C44" s="9" t="inlineStr">
        <is>
          <t>Elevator only to lowest unit story</t>
        </is>
      </c>
      <c r="D44" s="9" t="inlineStr">
        <is>
          <t>Where elevator service provides an accessible route only to the lowest story containing residence units, only units on that story need be Type B</t>
        </is>
      </c>
      <c r="E44" s="9" t="inlineStr">
        <is>
          <t>Elevator limited to the lowest unit story</t>
        </is>
      </c>
      <c r="F44" s="9" t="inlineStr">
        <is>
          <t>Applies to Type B reductions, not Accessible-unit quotas</t>
        </is>
      </c>
      <c r="G44" s="13" t="inlineStr">
        <is>
          <t>Conditional</t>
        </is>
      </c>
      <c r="H44" s="9" t="inlineStr">
        <is>
          <t>If Type B is triggered and the lift core serves all hotel floors, this exception is not available</t>
        </is>
      </c>
      <c r="I44" s="11" t="inlineStr">
        <is>
          <t>Verified</t>
        </is>
      </c>
    </row>
    <row r="45" ht="72" customHeight="1">
      <c r="A45" s="12" t="inlineStr">
        <is>
          <t>11. Common toilets, kitchens, drinking fountains and lifts</t>
        </is>
      </c>
      <c r="B45" s="12" t="inlineStr">
        <is>
          <t>1110.2</t>
        </is>
      </c>
      <c r="C45" s="12" t="inlineStr">
        <is>
          <t>Toilet/bathing rooms</t>
        </is>
      </c>
      <c r="D45" s="12" t="inlineStr">
        <is>
          <t>Each toilet room and bathing room shall be accessible; at least one of each type of fixture/element/control/dispenser accessible</t>
        </is>
      </c>
      <c r="E45" s="12" t="inlineStr">
        <is>
          <t>Toilet/bathing rooms</t>
        </is>
      </c>
      <c r="F45" s="12" t="inlineStr">
        <is>
          <t>Ex. 2: rooms serving dwelling/sleeping units not required to be accessible by 1108. Ex. 3: clustered single-user rooms ≥ 50% (≥ 1 of each use). Do not locate the only toilets on a non-accessible floor</t>
        </is>
      </c>
      <c r="G45" s="11" t="inlineStr">
        <is>
          <t>Direct</t>
        </is>
      </c>
      <c r="H45" s="12" t="inlineStr">
        <is>
          <t>Make lobby, F&amp;B and banquet toilets accessible; Accessible-guestroom bathrooms follow A117.1</t>
        </is>
      </c>
      <c r="I45" s="11" t="inlineStr">
        <is>
          <t>Verified</t>
        </is>
      </c>
    </row>
    <row r="46" ht="56" customHeight="1">
      <c r="A46" s="9" t="inlineStr">
        <is>
          <t>11. Common toilets, kitchens, drinking fountains and lifts</t>
        </is>
      </c>
      <c r="B46" s="9" t="inlineStr">
        <is>
          <t>1110.2.1</t>
        </is>
      </c>
      <c r="C46" s="9" t="inlineStr">
        <is>
          <t>Family/assisted-use toilet</t>
        </is>
      </c>
      <c r="D46" s="9" t="inlineStr">
        <is>
          <t>Required in assembly and mercantile where aggregate male+female water closets ≥ 6; travel ≤ 150 m and ≤ one story from separate-sex rooms</t>
        </is>
      </c>
      <c r="E46" s="9" t="inlineStr">
        <is>
          <t>Assembly/mercantile fixture count</t>
        </is>
      </c>
      <c r="F46" s="9" t="inlineStr">
        <is>
          <t>Mixed occupancy: count only A/M water closets. Family bathing room required where separate-sex bathing rooms are provided in recreational facilities</t>
        </is>
      </c>
      <c r="G46" s="13" t="inlineStr">
        <is>
          <t>Conditional</t>
        </is>
      </c>
      <c r="H46" s="9" t="inlineStr">
        <is>
          <t>If banquet/F&amp;B/retail hits six WCs, add a family room on an accessible route</t>
        </is>
      </c>
      <c r="I46" s="11" t="inlineStr">
        <is>
          <t>Verified</t>
        </is>
      </c>
    </row>
    <row r="47" ht="56" customHeight="1">
      <c r="A47" s="12" t="inlineStr">
        <is>
          <t>11. Common toilets, kitchens, drinking fountains and lifts</t>
        </is>
      </c>
      <c r="B47" s="12" t="inlineStr">
        <is>
          <t>1110.2.4</t>
        </is>
      </c>
      <c r="C47" s="12" t="inlineStr">
        <is>
          <t>Compartments</t>
        </is>
      </c>
      <c r="D47" s="12" t="inlineStr">
        <is>
          <t>≥ 5% of compartments wheelchair-accessible; if compartments+urinals ≥ 6, ≥ 5% ambulatory-accessible in addition</t>
        </is>
      </c>
      <c r="E47" s="12" t="inlineStr">
        <is>
          <t>Multi-compartment toilets</t>
        </is>
      </c>
      <c r="F47" s="12" t="inlineStr">
        <is>
          <t>Unit bathrooms excepted via 1110.2 Ex. 2</t>
        </is>
      </c>
      <c r="G47" s="13" t="inlineStr">
        <is>
          <t>Conditional</t>
        </is>
      </c>
      <c r="H47" s="12" t="inlineStr">
        <is>
          <t>Size lobby/F&amp;B toilets with a wheelchair stall; add ambulatory stall when the room is large</t>
        </is>
      </c>
      <c r="I47" s="11" t="inlineStr">
        <is>
          <t>Verified</t>
        </is>
      </c>
    </row>
    <row r="48" ht="56" customHeight="1">
      <c r="A48" s="9" t="inlineStr">
        <is>
          <t>11. Common toilets, kitchens, drinking fountains and lifts</t>
        </is>
      </c>
      <c r="B48" s="9" t="inlineStr">
        <is>
          <t>1110.2.5</t>
        </is>
      </c>
      <c r="C48" s="9" t="inlineStr">
        <is>
          <t>Lavatories</t>
        </is>
      </c>
      <c r="D48" s="9" t="inlineStr">
        <is>
          <t>≥ 5% (≥ 1) accessible; extra accessible lavatory if the only one is inside the accessible stall; ≥ 6 lavatories → one enhanced-reach</t>
        </is>
      </c>
      <c r="E48" s="9" t="inlineStr">
        <is>
          <t>Lavatories provided</t>
        </is>
      </c>
      <c r="F48" s="9" t="inlineStr">
        <is>
          <t>Enhanced reach per A117.1 (not imported)</t>
        </is>
      </c>
      <c r="G48" s="13" t="inlineStr">
        <is>
          <t>Conditional</t>
        </is>
      </c>
      <c r="H48" s="9" t="inlineStr">
        <is>
          <t>Do not hide the only accessible lavatory inside the accessible stall</t>
        </is>
      </c>
      <c r="I48" s="11" t="inlineStr">
        <is>
          <t>Verified</t>
        </is>
      </c>
    </row>
    <row r="49" ht="40" customHeight="1">
      <c r="A49" s="12" t="inlineStr">
        <is>
          <t>11. Common toilets, kitchens, drinking fountains and lifts</t>
        </is>
      </c>
      <c r="B49" s="12" t="inlineStr">
        <is>
          <t>1110.4</t>
        </is>
      </c>
      <c r="C49" s="12" t="inlineStr">
        <is>
          <t>Kitchens and kitchenettes</t>
        </is>
      </c>
      <c r="D49" s="12" t="inlineStr">
        <is>
          <t>Kitchens and kitchenettes in accessible spaces or rooms shall be accessible</t>
        </is>
      </c>
      <c r="E49" s="12" t="inlineStr">
        <is>
          <t>Common kitchens / kitchenettes</t>
        </is>
      </c>
      <c r="F49" s="12" t="inlineStr">
        <is>
          <t>Unit kitchens follow 1110.1 Exception / A117.1 (not imported)</t>
        </is>
      </c>
      <c r="G49" s="11" t="inlineStr">
        <is>
          <t>Direct</t>
        </is>
      </c>
      <c r="H49" s="12" t="inlineStr">
        <is>
          <t>Detail lobby pantry, club lounge kitchen and staff break kitchenettes as accessible</t>
        </is>
      </c>
      <c r="I49" s="11" t="inlineStr">
        <is>
          <t>Verified</t>
        </is>
      </c>
    </row>
    <row r="50" ht="40" customHeight="1">
      <c r="A50" s="9" t="inlineStr">
        <is>
          <t>11. Common toilets, kitchens, drinking fountains and lifts</t>
        </is>
      </c>
      <c r="B50" s="9" t="inlineStr">
        <is>
          <t>1110.5.1</t>
        </is>
      </c>
      <c r="C50" s="9" t="inlineStr">
        <is>
          <t>Drinking fountains</t>
        </is>
      </c>
      <c r="D50" s="9" t="inlineStr">
        <is>
          <t>No fewer than two: one wheelchair, one standing (or dual-spout substitute)</t>
        </is>
      </c>
      <c r="E50" s="9" t="inlineStr">
        <is>
          <t>Drinking fountains provided on a floor/site/secured area</t>
        </is>
      </c>
      <c r="F50" s="9" t="inlineStr">
        <is>
          <t>Children’s standing spout 760 mm minimum</t>
        </is>
      </c>
      <c r="G50" s="13" t="inlineStr">
        <is>
          <t>Conditional</t>
        </is>
      </c>
      <c r="H50" s="9" t="inlineStr">
        <is>
          <t>If fountains are provided, install hi-lo; do not import SBC 701 fixture counts</t>
        </is>
      </c>
      <c r="I50" s="11" t="inlineStr">
        <is>
          <t>Verified</t>
        </is>
      </c>
    </row>
    <row r="51" ht="56" customHeight="1">
      <c r="A51" s="12" t="inlineStr">
        <is>
          <t>11. Common toilets, kitchens, drinking fountains and lifts</t>
        </is>
      </c>
      <c r="B51" s="12" t="inlineStr">
        <is>
          <t>1110.8</t>
        </is>
      </c>
      <c r="C51" s="12" t="inlineStr">
        <is>
          <t>Elevators</t>
        </is>
      </c>
      <c r="D51" s="12" t="inlineStr">
        <is>
          <t>Passenger elevators on an accessible route shall be accessible and comply with Chapter 30</t>
        </is>
      </c>
      <c r="E51" s="12" t="inlineStr">
        <is>
          <t>Passenger elevators on an accessible route</t>
        </is>
      </c>
      <c r="F51" s="12" t="inlineStr">
        <is>
          <t>Freight/construction elevators not this section</t>
        </is>
      </c>
      <c r="G51" s="15" t="inlineStr">
        <is>
          <t>External verification</t>
        </is>
      </c>
      <c r="H51" s="12" t="inlineStr">
        <is>
          <t>All passenger cars on the accessible route are accessible; stretcher/FSAE sizes live in Chapter 30 / 403, not here</t>
        </is>
      </c>
      <c r="I51" s="11" t="inlineStr">
        <is>
          <t>Verified</t>
        </is>
      </c>
    </row>
    <row r="52" ht="56" customHeight="1">
      <c r="A52" s="9" t="inlineStr">
        <is>
          <t>11. Common toilets, kitchens, drinking fountains and lifts</t>
        </is>
      </c>
      <c r="B52" s="9" t="inlineStr">
        <is>
          <t>1110.9 Item 4</t>
        </is>
      </c>
      <c r="C52" s="9" t="inlineStr">
        <is>
          <t>Platform lifts in units</t>
        </is>
      </c>
      <c r="D52" s="9" t="inlineStr">
        <is>
          <t>Platform lifts permitted on a required accessible route within an individual Accessible, Type A or Type B unit</t>
        </is>
      </c>
      <c r="E52" s="9" t="inlineStr">
        <is>
          <t>New construction</t>
        </is>
      </c>
      <c r="F52" s="9" t="inlineStr">
        <is>
          <t>ASME A18.1 (not imported)</t>
        </is>
      </c>
      <c r="G52" s="13" t="inlineStr">
        <is>
          <t>Conditional</t>
        </is>
      </c>
      <c r="H52" s="9" t="inlineStr">
        <is>
          <t>Use a lift inside a split-level Accessible suite only if chosen; it does not replace building elevators</t>
        </is>
      </c>
      <c r="I52" s="11" t="inlineStr">
        <is>
          <t>Verified</t>
        </is>
      </c>
    </row>
    <row r="53" ht="56" customHeight="1">
      <c r="A53" s="12" t="inlineStr">
        <is>
          <t>11. Common toilets, kitchens, drinking fountains and lifts</t>
        </is>
      </c>
      <c r="B53" s="12" t="inlineStr">
        <is>
          <t>1110.13.2</t>
        </is>
      </c>
      <c r="C53" s="12" t="inlineStr">
        <is>
          <t>Sales and service counters</t>
        </is>
      </c>
      <c r="D53" s="12" t="inlineStr">
        <is>
          <t>At least one of each type of sales or service counter/window shall be accessible; disperse if the counters are dispersed</t>
        </is>
      </c>
      <c r="E53" s="12" t="inlineStr">
        <is>
          <t>Reception, F&amp;B, retail counters</t>
        </is>
      </c>
      <c r="F53" s="12" t="inlineStr">
        <is>
          <t>Not a check-out-aisle table</t>
        </is>
      </c>
      <c r="G53" s="11" t="inlineStr">
        <is>
          <t>Direct</t>
        </is>
      </c>
      <c r="H53" s="12" t="inlineStr">
        <is>
          <t>Lower at least one reception/check-in and one of each F&amp;B/retail service counter type</t>
        </is>
      </c>
      <c r="I53" s="11" t="inlineStr">
        <is>
          <t>Verified</t>
        </is>
      </c>
    </row>
    <row r="54" ht="56" customHeight="1">
      <c r="A54" s="9" t="inlineStr">
        <is>
          <t>11. Common toilets, kitchens, drinking fountains and lifts</t>
        </is>
      </c>
      <c r="B54" s="9" t="inlineStr">
        <is>
          <t>1110.13.3</t>
        </is>
      </c>
      <c r="C54" s="9" t="inlineStr">
        <is>
          <t>Food-service lines</t>
        </is>
      </c>
      <c r="D54" s="9" t="inlineStr">
        <is>
          <t>Food service lines shall be accessible; ≥ 50% (≥ 1) of each type of self-service shelf accessible</t>
        </is>
      </c>
      <c r="E54" s="9" t="inlineStr">
        <is>
          <t>Food-service lines provided</t>
        </is>
      </c>
      <c r="F54" s="9" t="inlineStr">
        <is>
          <t>None stated</t>
        </is>
      </c>
      <c r="G54" s="13" t="inlineStr">
        <is>
          <t>Conditional</t>
        </is>
      </c>
      <c r="H54" s="9" t="inlineStr">
        <is>
          <t>If a buffet or cafeteria line exists, put the line and ≥ 50% of each shelf type on the accessible route</t>
        </is>
      </c>
      <c r="I54" s="11" t="inlineStr">
        <is>
          <t>Verified</t>
        </is>
      </c>
    </row>
    <row r="55" ht="56" customHeight="1">
      <c r="A55" s="12" t="inlineStr">
        <is>
          <t>12. Recreational facilities</t>
        </is>
      </c>
      <c r="B55" s="12" t="inlineStr">
        <is>
          <t>1111.3</t>
        </is>
      </c>
      <c r="C55" s="12" t="inlineStr">
        <is>
          <t>Recreation other than R-2/R-3/R-4</t>
        </is>
      </c>
      <c r="D55" s="12" t="inlineStr">
        <is>
          <t>Recreational facilities not falling within 1111.2 shall be accessible</t>
        </is>
      </c>
      <c r="E55" s="12" t="inlineStr">
        <is>
          <t>Hotel, office and other occupancies outside 1111.2</t>
        </is>
      </c>
      <c r="F55" s="12" t="inlineStr">
        <is>
          <t>Shared facilities that also serve R-2 Type A/B still cannot drop below 1111.3 where they serve the hotel</t>
        </is>
      </c>
      <c r="G55" s="11" t="inlineStr">
        <is>
          <t>Direct</t>
        </is>
      </c>
      <c r="H55" s="12" t="inlineStr">
        <is>
          <t>Make every hotel-serving pool, gym, court and spa accessible — do not use the R-2 25% rule</t>
        </is>
      </c>
      <c r="I55" s="11" t="inlineStr">
        <is>
          <t>Verified</t>
        </is>
      </c>
    </row>
    <row r="56" ht="72" customHeight="1">
      <c r="A56" s="9" t="inlineStr">
        <is>
          <t>12. Recreational facilities</t>
        </is>
      </c>
      <c r="B56" s="9" t="inlineStr">
        <is>
          <t>1111.4.14</t>
        </is>
      </c>
      <c r="C56" s="9" t="inlineStr">
        <is>
          <t>Pool water entry</t>
        </is>
      </c>
      <c r="D56" s="9" t="inlineStr">
        <is>
          <t>Swimming pools, wading pools, cold baths, hot tubs and spas shall be accessible and on an accessible route</t>
        </is>
      </c>
      <c r="E56" s="9" t="inlineStr">
        <is>
          <t>Those water features provided</t>
        </is>
      </c>
      <c r="F56" s="9" t="inlineStr">
        <is>
          <t>Ex. 1 catch-pool/slide terminus. Ex. 2 clustered spas 5% (≥ 1 of each type). Ex. 3 water-entry waiver is only for 1111.2.2 / 1111.2.3 (Type A/B) — not 1111.3</t>
        </is>
      </c>
      <c r="G56" s="11" t="inlineStr">
        <is>
          <t>Direct</t>
        </is>
      </c>
      <c r="H56" s="9" t="inlineStr">
        <is>
          <t>Provide an accessible route to and into hotel pools/spas; do not use the Type A/B water-entry waiver</t>
        </is>
      </c>
      <c r="I56" s="11" t="inlineStr">
        <is>
          <t>Verified</t>
        </is>
      </c>
    </row>
    <row r="57" ht="40" customHeight="1">
      <c r="A57" s="12" t="inlineStr">
        <is>
          <t>12. Recreational facilities</t>
        </is>
      </c>
      <c r="B57" s="12" t="inlineStr">
        <is>
          <t>1111.4.10</t>
        </is>
      </c>
      <c r="C57" s="12" t="inlineStr">
        <is>
          <t>Exercise machines</t>
        </is>
      </c>
      <c r="D57" s="12" t="inlineStr">
        <is>
          <t>At least one of each type of exercise machine and equipment shall be on an accessible route</t>
        </is>
      </c>
      <c r="E57" s="12" t="inlineStr">
        <is>
          <t>Exercise machines provided</t>
        </is>
      </c>
      <c r="F57" s="12" t="inlineStr">
        <is>
          <t>Operable-part heights are A117.1 (not imported)</t>
        </is>
      </c>
      <c r="G57" s="13" t="inlineStr">
        <is>
          <t>Conditional</t>
        </is>
      </c>
      <c r="H57" s="12" t="inlineStr">
        <is>
          <t>Put at least one of each gym machine type on the accessible route</t>
        </is>
      </c>
      <c r="I57" s="11" t="inlineStr">
        <is>
          <t>Verified</t>
        </is>
      </c>
    </row>
    <row r="58" ht="40" customHeight="1">
      <c r="A58" s="9" t="inlineStr">
        <is>
          <t>12. Recreational facilities</t>
        </is>
      </c>
      <c r="B58" s="9" t="inlineStr">
        <is>
          <t>1111.4.2</t>
        </is>
      </c>
      <c r="C58" s="9" t="inlineStr">
        <is>
          <t>Player seating</t>
        </is>
      </c>
      <c r="D58" s="9" t="inlineStr">
        <is>
          <t>At least one wheelchair space in team/player seating serving areas of sport activity</t>
        </is>
      </c>
      <c r="E58" s="9" t="inlineStr">
        <is>
          <t>Team/player seating provided</t>
        </is>
      </c>
      <c r="F58" s="9" t="inlineStr">
        <is>
          <t>Bowling-lane exception</t>
        </is>
      </c>
      <c r="G58" s="13" t="inlineStr">
        <is>
          <t>Conditional</t>
        </is>
      </c>
      <c r="H58" s="9" t="inlineStr">
        <is>
          <t>If a court has player benches, provide one wheelchair space</t>
        </is>
      </c>
      <c r="I58" s="11" t="inlineStr">
        <is>
          <t>Verified</t>
        </is>
      </c>
    </row>
    <row r="59" ht="40" customHeight="1">
      <c r="A59" s="12" t="inlineStr">
        <is>
          <t>12. Recreational facilities</t>
        </is>
      </c>
      <c r="B59" s="12" t="inlineStr">
        <is>
          <t>1111.4.4</t>
        </is>
      </c>
      <c r="C59" s="12" t="inlineStr">
        <is>
          <t>Court sides</t>
        </is>
      </c>
      <c r="D59" s="12" t="inlineStr">
        <is>
          <t>At least one accessible route shall directly connect both sides of the court</t>
        </is>
      </c>
      <c r="E59" s="12" t="inlineStr">
        <is>
          <t>Court sports</t>
        </is>
      </c>
      <c r="F59" s="12" t="inlineStr">
        <is>
          <t>None stated</t>
        </is>
      </c>
      <c r="G59" s="13" t="inlineStr">
        <is>
          <t>Conditional</t>
        </is>
      </c>
      <c r="H59" s="12" t="inlineStr">
        <is>
          <t>If tennis/padel/basketball courts exist, connect both sides without leaving the court area</t>
        </is>
      </c>
      <c r="I59" s="11" t="inlineStr">
        <is>
          <t>Verified</t>
        </is>
      </c>
    </row>
    <row r="60" ht="56" customHeight="1">
      <c r="A60" s="9" t="inlineStr">
        <is>
          <t>12. Recreational facilities</t>
        </is>
      </c>
      <c r="B60" s="9" t="inlineStr">
        <is>
          <t>1111.2.2</t>
        </is>
      </c>
      <c r="C60" s="9" t="inlineStr">
        <is>
          <t>R-2 Type A/B recreation (companion)</t>
        </is>
      </c>
      <c r="D60" s="9" t="inlineStr">
        <is>
          <t>25 percent, but not less than one, of each type where recreation serves a single building containing Type A or Type B units</t>
        </is>
      </c>
      <c r="E60" s="9" t="inlineStr">
        <is>
          <t>Recreation serving R-2 Type A/B</t>
        </is>
      </c>
      <c r="F60" s="9" t="inlineStr">
        <is>
          <t>Does not govern hotel-only facilities; mixed shared rec still meets 1111.3 for the hotel</t>
        </is>
      </c>
      <c r="G60" s="13" t="inlineStr">
        <is>
          <t>Conditional</t>
        </is>
      </c>
      <c r="H60" s="9" t="inlineStr">
        <is>
          <t>If a pool is hotel-only, ignore this row. If shared with R-2, the hotel 1111.3 100% path governs the hotel share</t>
        </is>
      </c>
      <c r="I60" s="11" t="inlineStr">
        <is>
          <t>Verified</t>
        </is>
      </c>
    </row>
    <row r="61" ht="56" customHeight="1">
      <c r="A61" s="12" t="inlineStr">
        <is>
          <t>13. Signage</t>
        </is>
      </c>
      <c r="B61" s="12" t="inlineStr">
        <is>
          <t>1112.1 Items 4–7</t>
        </is>
      </c>
      <c r="C61" s="12" t="inlineStr">
        <is>
          <t>Partial-access identification</t>
        </is>
      </c>
      <c r="D61" s="12" t="inlineStr">
        <is>
          <t>Identify accessible toilets, entrances, check-out aisles and dressing/locker rooms where not all are accessible</t>
        </is>
      </c>
      <c r="E61" s="12" t="inlineStr">
        <is>
          <t>Mixed accessible/non-accessible sets</t>
        </is>
      </c>
      <c r="F61" s="12" t="inlineStr">
        <is>
          <t>None stated</t>
        </is>
      </c>
      <c r="G61" s="11" t="inlineStr">
        <is>
          <t>Direct</t>
        </is>
      </c>
      <c r="H61" s="12" t="inlineStr">
        <is>
          <t>Sign the accessible lobby entrance if any public entrance remains inaccessible</t>
        </is>
      </c>
      <c r="I61" s="11" t="inlineStr">
        <is>
          <t>Verified</t>
        </is>
      </c>
    </row>
    <row r="62" ht="40" customHeight="1">
      <c r="A62" s="9" t="inlineStr">
        <is>
          <t>13. Signage</t>
        </is>
      </c>
      <c r="B62" s="9" t="inlineStr">
        <is>
          <t>1112.1 Items 8–9</t>
        </is>
      </c>
      <c r="C62" s="9" t="inlineStr">
        <is>
          <t>Accessible MOE signs</t>
        </is>
      </c>
      <c r="D62" s="9" t="inlineStr">
        <is>
          <t>Accessible areas of refuge and exterior areas for assisted rescue in accordance with Section 1009.9</t>
        </is>
      </c>
      <c r="E62" s="9" t="inlineStr">
        <is>
          <t>Those elements provided</t>
        </is>
      </c>
      <c r="F62" s="9" t="inlineStr">
        <is>
          <t>Values not in Chapter 11</t>
        </is>
      </c>
      <c r="G62" s="15" t="inlineStr">
        <is>
          <t>External verification</t>
        </is>
      </c>
      <c r="H62" s="9" t="inlineStr">
        <is>
          <t>Coordinate ISA with the Chapter 10 accessible-egress package</t>
        </is>
      </c>
      <c r="I62" s="11" t="inlineStr">
        <is>
          <t>Verified</t>
        </is>
      </c>
    </row>
    <row r="63" ht="72" customHeight="1">
      <c r="A63" s="12" t="inlineStr">
        <is>
          <t>13. Signage</t>
        </is>
      </c>
      <c r="B63" s="12" t="inlineStr">
        <is>
          <t>1112.3</t>
        </is>
      </c>
      <c r="C63" s="12" t="inlineStr">
        <is>
          <t>Directional signs</t>
        </is>
      </c>
      <c r="D63" s="12" t="inlineStr">
        <is>
          <t>Directional ISA signage at inaccessible entrances, toilets, elevators not on an accessible route, family-toilet locations, exits not providing approved accessible MOE (1009.10), and split hi-lo fountains</t>
        </is>
      </c>
      <c r="E63" s="12" t="inlineStr">
        <is>
          <t>Those conditions</t>
        </is>
      </c>
      <c r="F63" s="12" t="inlineStr">
        <is>
          <t>Visual characters per A117.1 (not imported)</t>
        </is>
      </c>
      <c r="G63" s="11" t="inlineStr">
        <is>
          <t>Direct</t>
        </is>
      </c>
      <c r="H63" s="12" t="inlineStr">
        <is>
          <t>Place directional copy at every inaccessible public entrance</t>
        </is>
      </c>
      <c r="I63" s="11" t="inlineStr">
        <is>
          <t>Verified</t>
        </is>
      </c>
    </row>
    <row r="64" ht="56" customHeight="1">
      <c r="A64" s="9" t="inlineStr">
        <is>
          <t>13. Signage</t>
        </is>
      </c>
      <c r="B64" s="9" t="inlineStr">
        <is>
          <t>1112.4 Item 1</t>
        </is>
      </c>
      <c r="C64" s="9" t="inlineStr">
        <is>
          <t>ALS availability sign</t>
        </is>
      </c>
      <c r="D64" s="9" t="inlineStr">
        <is>
          <t>Assembly areas required to comply with 1109.2.7 shall notify patrons of assistive listening systems, with the hearing-loss symbol</t>
        </is>
      </c>
      <c r="E64" s="9" t="inlineStr">
        <is>
          <t>Assembly with ALS</t>
        </is>
      </c>
      <c r="F64" s="9" t="inlineStr">
        <is>
          <t>Signs at each ticket window may substitute for signs in each assembly room</t>
        </is>
      </c>
      <c r="G64" s="13" t="inlineStr">
        <is>
          <t>Conditional</t>
        </is>
      </c>
      <c r="H64" s="9" t="inlineStr">
        <is>
          <t>If a banquet hall has a PA, post ALS availability at the door or ticket point</t>
        </is>
      </c>
      <c r="I64" s="11" t="inlineStr">
        <is>
          <t>Verified</t>
        </is>
      </c>
    </row>
    <row r="65" ht="56" customHeight="1">
      <c r="A65" s="12" t="inlineStr">
        <is>
          <t>14. Podium, amenity and assembly (conditional)</t>
        </is>
      </c>
      <c r="B65" s="12" t="inlineStr">
        <is>
          <t>Table 1109.2.2.1</t>
        </is>
      </c>
      <c r="C65" s="12" t="inlineStr">
        <is>
          <t>Wheelchair spaces</t>
        </is>
      </c>
      <c r="D65" s="12" t="inlineStr">
        <is>
          <t>Flattened OCR table; no reconstructed seating-capacity cell is adopted</t>
        </is>
      </c>
      <c r="E65" s="12" t="inlineStr">
        <is>
          <t>Assembly with fixed seating</t>
        </is>
      </c>
      <c r="F65" s="12" t="inlineStr">
        <is>
          <t>Companion seat per 1109.2.3 (one per wheelchair space); 5% designated aisle seats</t>
        </is>
      </c>
      <c r="G65" s="13" t="inlineStr">
        <is>
          <t>Conditional</t>
        </is>
      </c>
      <c r="H65" s="12" t="inlineStr">
        <is>
          <t>If a banquet hall, cinema or lecture room has fixed seats, apply the published table after source check</t>
        </is>
      </c>
      <c r="I65" s="16" t="inlineStr">
        <is>
          <t>Verify source</t>
        </is>
      </c>
    </row>
    <row r="66" ht="40" customHeight="1">
      <c r="A66" s="9" t="inlineStr">
        <is>
          <t>14. Podium, amenity and assembly (conditional)</t>
        </is>
      </c>
      <c r="B66" s="9" t="inlineStr">
        <is>
          <t>1109.2.5</t>
        </is>
      </c>
      <c r="C66" s="9" t="inlineStr">
        <is>
          <t>Designated aisle seats</t>
        </is>
      </c>
      <c r="D66" s="9" t="inlineStr">
        <is>
          <t>≥ 5% (≥ 1) of aisle seats, closest to accessible routes</t>
        </is>
      </c>
      <c r="E66" s="9" t="inlineStr">
        <is>
          <t>Aisle seats provided</t>
        </is>
      </c>
      <c r="F66" s="9" t="inlineStr">
        <is>
          <t>Not required in team/player seating</t>
        </is>
      </c>
      <c r="G66" s="13" t="inlineStr">
        <is>
          <t>Conditional</t>
        </is>
      </c>
      <c r="H66" s="9" t="inlineStr">
        <is>
          <t>Mark aisle seats nearest the accessible route in amenity auditoria</t>
        </is>
      </c>
      <c r="I66" s="11" t="inlineStr">
        <is>
          <t>Verified</t>
        </is>
      </c>
    </row>
    <row r="67" ht="56" customHeight="1">
      <c r="A67" s="12" t="inlineStr">
        <is>
          <t>14. Podium, amenity and assembly (conditional)</t>
        </is>
      </c>
      <c r="B67" s="12" t="inlineStr">
        <is>
          <t>1109.2.9.1</t>
        </is>
      </c>
      <c r="C67" s="12" t="inlineStr">
        <is>
          <t>Dining surfaces</t>
        </is>
      </c>
      <c r="D67" s="12" t="inlineStr">
        <is>
          <t>≥ 5% (≥ 1) of dining surfaces for seating and standing spaces accessible, distributed, on an accessible level</t>
        </is>
      </c>
      <c r="E67" s="12" t="inlineStr">
        <is>
          <t>Dining surfaces provided</t>
        </is>
      </c>
      <c r="F67" s="12" t="inlineStr">
        <is>
          <t>Mezzanine &lt; 25% dining area exception (1109.2.9 Ex. 2)</t>
        </is>
      </c>
      <c r="G67" s="13" t="inlineStr">
        <is>
          <t>Conditional</t>
        </is>
      </c>
      <c r="H67" s="12" t="inlineStr">
        <is>
          <t>Provide wheelchair dining in hotel restaurants and bars</t>
        </is>
      </c>
      <c r="I67" s="11" t="inlineStr">
        <is>
          <t>Verified</t>
        </is>
      </c>
    </row>
    <row r="68" ht="40" customHeight="1">
      <c r="A68" s="9" t="inlineStr">
        <is>
          <t>14. Podium, amenity and assembly (conditional)</t>
        </is>
      </c>
      <c r="B68" s="9" t="inlineStr">
        <is>
          <t>Table 1109.2.7.1</t>
        </is>
      </c>
      <c r="C68" s="9" t="inlineStr">
        <is>
          <t>ALS receivers</t>
        </is>
      </c>
      <c r="D68" s="9" t="inlineStr">
        <is>
          <t>Flattened OCR table; asterisks unresolved; no reconstructed receiver-count cell is adopted</t>
        </is>
      </c>
      <c r="E68" s="9" t="inlineStr">
        <is>
          <t>Assembly where audible communication is integral</t>
        </is>
      </c>
      <c r="F68" s="9" t="inlineStr">
        <is>
          <t>Not required (except courtrooms) where there is no audio amplification; induction-loop HAC exception</t>
        </is>
      </c>
      <c r="G68" s="13" t="inlineStr">
        <is>
          <t>Conditional</t>
        </is>
      </c>
      <c r="H68" s="9" t="inlineStr">
        <is>
          <t>If a banquet hall has a PA, provide receivers after published-source check of the table</t>
        </is>
      </c>
      <c r="I68" s="16" t="inlineStr">
        <is>
          <t>Verify source</t>
        </is>
      </c>
    </row>
    <row r="69" ht="40" customHeight="1">
      <c r="A69" s="12" t="inlineStr">
        <is>
          <t>14. Podium, amenity and assembly (conditional)</t>
        </is>
      </c>
      <c r="B69" s="12" t="inlineStr">
        <is>
          <t>1110.14</t>
        </is>
      </c>
      <c r="C69" s="12" t="inlineStr">
        <is>
          <t>Locker / fitting rooms</t>
        </is>
      </c>
      <c r="D69" s="12" t="inlineStr">
        <is>
          <t>≥ 5% (≥ 1) of each type of use in each cluster shall be accessible</t>
        </is>
      </c>
      <c r="E69" s="12" t="inlineStr">
        <is>
          <t>Dressing, fitting or locker rooms provided</t>
        </is>
      </c>
      <c r="F69" s="12" t="inlineStr">
        <is>
          <t>None stated</t>
        </is>
      </c>
      <c r="G69" s="13" t="inlineStr">
        <is>
          <t>Conditional</t>
        </is>
      </c>
      <c r="H69" s="12" t="inlineStr">
        <is>
          <t>If spa/gym lockers exist, make ≥ 5% of each cluster accessible</t>
        </is>
      </c>
      <c r="I69" s="11" t="inlineStr">
        <is>
          <t>Verified</t>
        </is>
      </c>
    </row>
    <row r="70" ht="40" customHeight="1">
      <c r="A70" s="9" t="inlineStr">
        <is>
          <t>15. High-rise and outbound controls</t>
        </is>
      </c>
      <c r="B70" s="9" t="inlineStr">
        <is>
          <t>1009 (named)</t>
        </is>
      </c>
      <c r="C70" s="9" t="inlineStr">
        <is>
          <t>Accessible means of egress</t>
        </is>
      </c>
      <c r="D70" s="9" t="inlineStr">
        <is>
          <t>Chapter 11 repeatedly sends accessible egress to Section 1009</t>
        </is>
      </c>
      <c r="E70" s="9" t="inlineStr">
        <is>
          <t>Accessible floors and occupied roofs</t>
        </is>
      </c>
      <c r="F70" s="9" t="inlineStr">
        <is>
          <t>No 1009 values imported</t>
        </is>
      </c>
      <c r="G70" s="15" t="inlineStr">
        <is>
          <t>External verification</t>
        </is>
      </c>
      <c r="H70" s="9" t="inlineStr">
        <is>
          <t>Use the Chapter 10 matrix for AMOE; do not copy those numbers here</t>
        </is>
      </c>
      <c r="I70" s="11" t="inlineStr">
        <is>
          <t>Verified</t>
        </is>
      </c>
    </row>
    <row r="71" ht="56" customHeight="1">
      <c r="A71" s="12" t="inlineStr">
        <is>
          <t>15. High-rise and outbound controls</t>
        </is>
      </c>
      <c r="B71" s="12" t="inlineStr">
        <is>
          <t>1110.8 / Ch. 30 / 403</t>
        </is>
      </c>
      <c r="C71" s="12" t="inlineStr">
        <is>
          <t>Elevators</t>
        </is>
      </c>
      <c r="D71" s="12" t="inlineStr">
        <is>
          <t>Passenger elevators on the accessible route: accessible + Chapter 30. Commentary also names stretcher, 1009.2.1 and 36 m FSAE — commentary numbers are not adopted</t>
        </is>
      </c>
      <c r="E71" s="12" t="inlineStr">
        <is>
          <t>Elevators / high-rise</t>
        </is>
      </c>
      <c r="F71" s="12" t="inlineStr">
        <is>
          <t>Charging 1110.8 does not itself state 36 m or four-storey triggers</t>
        </is>
      </c>
      <c r="G71" s="15" t="inlineStr">
        <is>
          <t>External verification</t>
        </is>
      </c>
      <c r="H71" s="12" t="inlineStr">
        <is>
          <t>Coordinate stretcher, FSAE and occupant-evacuation elevators from Chapter 30 / 403, not from Chapter 11 commentary</t>
        </is>
      </c>
      <c r="I71" s="11" t="inlineStr">
        <is>
          <t>Verified</t>
        </is>
      </c>
    </row>
    <row r="72" ht="40" customHeight="1">
      <c r="A72" s="9" t="inlineStr">
        <is>
          <t>15. High-rise and outbound controls</t>
        </is>
      </c>
      <c r="B72" s="9" t="inlineStr">
        <is>
          <t>SBC 901 §306</t>
        </is>
      </c>
      <c r="C72" s="9" t="inlineStr">
        <is>
          <t>Existing buildings</t>
        </is>
      </c>
      <c r="D72" s="9" t="inlineStr">
        <is>
          <t>Named in General Comments only</t>
        </is>
      </c>
      <c r="E72" s="9" t="inlineStr">
        <is>
          <t>Existing buildings</t>
        </is>
      </c>
      <c r="F72" s="9" t="inlineStr">
        <is>
          <t>Not quantified in this chapter’s code paragraphs</t>
        </is>
      </c>
      <c r="G72" s="15" t="inlineStr">
        <is>
          <t>External verification</t>
        </is>
      </c>
      <c r="H72" s="9" t="inlineStr">
        <is>
          <t>Alterations are outside this new-construction extract</t>
        </is>
      </c>
      <c r="I72" s="11" t="inlineStr">
        <is>
          <t>Verified</t>
        </is>
      </c>
    </row>
  </sheetData>
  <mergeCells count="2">
    <mergeCell ref="A1:I1"/>
    <mergeCell ref="A2:I2"/>
  </mergeCells>
  <conditionalFormatting sqref="G5:G72">
    <cfRule type="expression" priority="1" dxfId="0">
      <formula>G5="Verify source"</formula>
    </cfRule>
    <cfRule type="expression" priority="2" dxfId="1">
      <formula>G5="Direct"</formula>
    </cfRule>
    <cfRule type="expression" priority="4" dxfId="2">
      <formula>G5="Conditional"</formula>
    </cfRule>
    <cfRule type="expression" priority="6" dxfId="3">
      <formula>G5="External verification"</formula>
    </cfRule>
    <cfRule type="expression" priority="8" dxfId="4">
      <formula>G5="Not typical"</formula>
    </cfRule>
    <cfRule type="expression" priority="10" dxfId="1">
      <formula>G5="Verified"</formula>
    </cfRule>
    <cfRule type="expression" priority="12" dxfId="0">
      <formula>G5="Verify source"</formula>
    </cfRule>
  </conditionalFormatting>
  <conditionalFormatting sqref="I5:I72">
    <cfRule type="expression" priority="3" dxfId="1">
      <formula>I5="Direct"</formula>
    </cfRule>
    <cfRule type="expression" priority="5" dxfId="2">
      <formula>I5="Conditional"</formula>
    </cfRule>
    <cfRule type="expression" priority="7" dxfId="3">
      <formula>I5="External verification"</formula>
    </cfRule>
    <cfRule type="expression" priority="9" dxfId="4">
      <formula>I5="Not typical"</formula>
    </cfRule>
    <cfRule type="expression" priority="11" dxfId="1">
      <formula>I5="Verified"</formula>
    </cfRule>
    <cfRule type="expression" priority="13" dxfId="0">
      <formula>I5="Verify source"</formula>
    </cfRule>
  </conditionalFormatting>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9"/>
  <sheetViews>
    <sheetView showGridLines="0" workbookViewId="0">
      <pane ySplit="3" topLeftCell="A4" activePane="bottomLeft" state="frozen"/>
      <selection pane="bottomLeft" activeCell="A1" sqref="A1"/>
    </sheetView>
  </sheetViews>
  <sheetFormatPr baseColWidth="8" defaultRowHeight="15"/>
  <cols>
    <col width="8" customWidth="1" min="1" max="1"/>
    <col width="140" customWidth="1" min="2" max="2"/>
  </cols>
  <sheetData>
    <row r="1">
      <c r="A1" s="10" t="inlineStr">
        <is>
          <t>Project-use controls</t>
        </is>
      </c>
    </row>
    <row r="3" ht="28" customHeight="1">
      <c r="A3" s="3" t="inlineStr">
        <is>
          <t>#</t>
        </is>
      </c>
      <c r="B3" s="3" t="inlineStr">
        <is>
          <t>Control</t>
        </is>
      </c>
    </row>
    <row r="4" ht="28" customHeight="1">
      <c r="A4" s="7" t="n">
        <v>1</v>
      </c>
      <c r="B4" s="5" t="inlineStr">
        <is>
          <t>Use Verified rows for initial scoping after the row trigger and branch are confirmed.</t>
        </is>
      </c>
    </row>
    <row r="5" ht="40" customHeight="1">
      <c r="A5" s="8" t="n">
        <v>2</v>
      </c>
      <c r="B5" s="9" t="inlineStr">
        <is>
          <t>Treat every Verify source row (all reconstructed appended tables) as a design hold point; no affected value is to be placed in issued-for-approval drawings without a published-source check.</t>
        </is>
      </c>
    </row>
    <row r="6" ht="28" customHeight="1">
      <c r="A6" s="7" t="n">
        <v>3</v>
      </c>
      <c r="B6" s="5" t="inlineStr">
        <is>
          <t>Do not apply Table 1108.6.1.1 reconstructed cells; wait for the published table.</t>
        </is>
      </c>
    </row>
    <row r="7" ht="40" customHeight="1">
      <c r="A7" s="8" t="n">
        <v>4</v>
      </c>
      <c r="B7" s="9" t="inlineStr">
        <is>
          <t>Do not apply the R-2 2 percent parking rule, the R-2 assigned-stall signage exception, the 1107.2 R-2 EV exemption, or the 1111.2.2 25% recreation rule to hotel-serving facilities.</t>
        </is>
      </c>
    </row>
    <row r="8" ht="40" customHeight="1">
      <c r="A8" s="7" t="n">
        <v>5</v>
      </c>
      <c r="B8" s="5" t="inlineStr">
        <is>
          <t>Do not import ICC A117.1 millimetres, Chapter 10 AMOE dimensions, or commentary examples (810 mm doors, 2500 mm van height, 50°C shower temperature).</t>
        </is>
      </c>
    </row>
    <row r="9" ht="40" customHeight="1">
      <c r="A9" s="8" t="n">
        <v>6</v>
      </c>
      <c r="B9" s="9" t="inlineStr">
        <is>
          <t>Record AHJ, guestroom-count, parking, recreation-ownership and extended-stay decisions in the project Golden Thread; this matrix is not evidence of SCD NOC or stamped compliance.</t>
        </is>
      </c>
    </row>
  </sheetData>
  <mergeCells count="1">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37"/>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24" customWidth="1" min="3" max="3"/>
    <col width="18" customWidth="1" min="4" max="4"/>
    <col width="24" customWidth="1" min="5" max="5"/>
  </cols>
  <sheetData>
    <row r="1">
      <c r="A1" s="10" t="inlineStr">
        <is>
          <t>Coverage summary</t>
        </is>
      </c>
    </row>
    <row r="2" ht="32" customHeight="1">
      <c r="A2" s="17" t="inlineStr">
        <is>
          <t>Internal inventory of the attached Chapter 11 extract (numbered code, exceptions, tables, footnotes; commentary excluded). Row-level records are not published.</t>
        </is>
      </c>
    </row>
    <row r="4" ht="28" customHeight="1">
      <c r="A4" s="3" t="inlineStr">
        <is>
          <t>Metric</t>
        </is>
      </c>
      <c r="B4" s="3" t="inlineStr">
        <is>
          <t>Value</t>
        </is>
      </c>
    </row>
    <row r="5">
      <c r="A5" s="18" t="inlineStr">
        <is>
          <t>Inventory scope</t>
        </is>
      </c>
      <c r="B5" s="19" t="inlineStr">
        <is>
          <t>numbered code, exceptions, tables, footnotes (commentary excluded)</t>
        </is>
      </c>
    </row>
    <row r="6">
      <c r="A6" s="18" t="inlineStr">
        <is>
          <t>Total independently checkable numeric records</t>
        </is>
      </c>
      <c r="B6" s="20" t="n">
        <v>276</v>
      </c>
    </row>
    <row r="7">
      <c r="A7" s="21" t="inlineStr">
        <is>
          <t>Verified</t>
        </is>
      </c>
      <c r="B7" s="22" t="n">
        <v>192</v>
      </c>
    </row>
    <row r="8">
      <c r="A8" s="23" t="inlineStr">
        <is>
          <t>Verify source</t>
        </is>
      </c>
      <c r="B8" s="24" t="n">
        <v>84</v>
      </c>
    </row>
    <row r="9">
      <c r="A9" s="18" t="inlineStr">
        <is>
          <t>Numeric records in Sections 1101 and 1102</t>
        </is>
      </c>
      <c r="B9" s="20" t="n">
        <v>0</v>
      </c>
    </row>
    <row r="11">
      <c r="A11" s="6" t="inlineStr">
        <is>
          <t>Counts by top-level section</t>
        </is>
      </c>
    </row>
    <row r="12" ht="28" customHeight="1">
      <c r="A12" s="3" t="inlineStr">
        <is>
          <t>Top-level section</t>
        </is>
      </c>
      <c r="B12" s="3" t="inlineStr">
        <is>
          <t>Records</t>
        </is>
      </c>
    </row>
    <row r="13" ht="28" customHeight="1">
      <c r="A13" s="12" t="inlineStr">
        <is>
          <t>1101</t>
        </is>
      </c>
      <c r="B13" s="25" t="n">
        <v>0</v>
      </c>
    </row>
    <row r="14" ht="28" customHeight="1">
      <c r="A14" s="9" t="inlineStr">
        <is>
          <t>1102</t>
        </is>
      </c>
      <c r="B14" s="26" t="n">
        <v>0</v>
      </c>
    </row>
    <row r="15" ht="28" customHeight="1">
      <c r="A15" s="12" t="inlineStr">
        <is>
          <t>1103</t>
        </is>
      </c>
      <c r="B15" s="25" t="n">
        <v>3</v>
      </c>
    </row>
    <row r="16" ht="28" customHeight="1">
      <c r="A16" s="9" t="inlineStr">
        <is>
          <t>1104</t>
        </is>
      </c>
      <c r="B16" s="26" t="n">
        <v>12</v>
      </c>
    </row>
    <row r="17" ht="28" customHeight="1">
      <c r="A17" s="12" t="inlineStr">
        <is>
          <t>1105</t>
        </is>
      </c>
      <c r="B17" s="25" t="n">
        <v>9</v>
      </c>
    </row>
    <row r="18" ht="28" customHeight="1">
      <c r="A18" s="9" t="inlineStr">
        <is>
          <t>1106</t>
        </is>
      </c>
      <c r="B18" s="26" t="n">
        <v>12</v>
      </c>
    </row>
    <row r="19" ht="28" customHeight="1">
      <c r="A19" s="12" t="inlineStr">
        <is>
          <t>1107</t>
        </is>
      </c>
      <c r="B19" s="25" t="n">
        <v>4</v>
      </c>
    </row>
    <row r="20" ht="28" customHeight="1">
      <c r="A20" s="9" t="inlineStr">
        <is>
          <t>1108</t>
        </is>
      </c>
      <c r="B20" s="26" t="n">
        <v>51</v>
      </c>
    </row>
    <row r="21" ht="28" customHeight="1">
      <c r="A21" s="12" t="inlineStr">
        <is>
          <t>1109</t>
        </is>
      </c>
      <c r="B21" s="25" t="n">
        <v>16</v>
      </c>
    </row>
    <row r="22" ht="28" customHeight="1">
      <c r="A22" s="9" t="inlineStr">
        <is>
          <t>1110</t>
        </is>
      </c>
      <c r="B22" s="26" t="n">
        <v>62</v>
      </c>
    </row>
    <row r="23" ht="28" customHeight="1">
      <c r="A23" s="12" t="inlineStr">
        <is>
          <t>1111</t>
        </is>
      </c>
      <c r="B23" s="25" t="n">
        <v>22</v>
      </c>
    </row>
    <row r="24" ht="28" customHeight="1">
      <c r="A24" s="9" t="inlineStr">
        <is>
          <t>1112</t>
        </is>
      </c>
      <c r="B24" s="26" t="n">
        <v>1</v>
      </c>
    </row>
    <row r="26">
      <c r="A26" s="6" t="inlineStr">
        <is>
          <t>Appended-table coverage</t>
        </is>
      </c>
    </row>
    <row r="27" ht="28" customHeight="1">
      <c r="A27" s="3" t="inlineStr">
        <is>
          <t>Appended table</t>
        </is>
      </c>
      <c r="B27" s="3" t="inlineStr">
        <is>
          <t>Records</t>
        </is>
      </c>
      <c r="C27" s="3" t="inlineStr">
        <is>
          <t>Verify source records</t>
        </is>
      </c>
    </row>
    <row r="28" ht="28" customHeight="1">
      <c r="A28" s="12" t="inlineStr">
        <is>
          <t>Table 1105.1.1</t>
        </is>
      </c>
      <c r="B28" s="25" t="n">
        <v>2</v>
      </c>
      <c r="C28" s="25" t="n">
        <v>2</v>
      </c>
    </row>
    <row r="29" ht="28" customHeight="1">
      <c r="A29" s="9" t="inlineStr">
        <is>
          <t>Table 1106.2</t>
        </is>
      </c>
      <c r="B29" s="26" t="n">
        <v>11</v>
      </c>
      <c r="C29" s="26" t="n">
        <v>11</v>
      </c>
    </row>
    <row r="30" ht="28" customHeight="1">
      <c r="A30" s="12" t="inlineStr">
        <is>
          <t>Table 1108.6.1.1</t>
        </is>
      </c>
      <c r="B30" s="25" t="n">
        <v>33</v>
      </c>
      <c r="C30" s="25" t="n">
        <v>33</v>
      </c>
    </row>
    <row r="31" ht="28" customHeight="1">
      <c r="A31" s="9" t="inlineStr">
        <is>
          <t>Table 1109.2.2.1</t>
        </is>
      </c>
      <c r="B31" s="26" t="n">
        <v>7</v>
      </c>
      <c r="C31" s="26" t="n">
        <v>7</v>
      </c>
    </row>
    <row r="32" ht="28" customHeight="1">
      <c r="A32" s="12" t="inlineStr">
        <is>
          <t>Table 1109.2.7.1</t>
        </is>
      </c>
      <c r="B32" s="25" t="n">
        <v>12</v>
      </c>
      <c r="C32" s="25" t="n">
        <v>12</v>
      </c>
    </row>
    <row r="33" ht="28" customHeight="1">
      <c r="A33" s="9" t="inlineStr">
        <is>
          <t>Table 1109.3</t>
        </is>
      </c>
      <c r="B33" s="26" t="n">
        <v>2</v>
      </c>
      <c r="C33" s="26" t="n">
        <v>2</v>
      </c>
    </row>
    <row r="34" ht="28" customHeight="1">
      <c r="A34" s="12" t="inlineStr">
        <is>
          <t>Table 1110.13.1</t>
        </is>
      </c>
      <c r="B34" s="25" t="n">
        <v>4</v>
      </c>
      <c r="C34" s="25" t="n">
        <v>4</v>
      </c>
    </row>
    <row r="35" ht="28" customHeight="1">
      <c r="A35" s="9" t="inlineStr">
        <is>
          <t>TABLE 111.4.9.1 (OCR title)</t>
        </is>
      </c>
      <c r="B35" s="26" t="n">
        <v>13</v>
      </c>
      <c r="C35" s="26" t="n">
        <v>13</v>
      </c>
    </row>
    <row r="37" ht="48" customHeight="1">
      <c r="A37" s="17" t="inlineStr">
        <is>
          <t>Coverage cross-check against SBC 201 Chapter 11 Accessibility (2024)_CS.md was topics-only: scoping vs ICC A117.1; 1103.2 exceptions; routes and stories; entrances and power doors; parking/vans; EV charging; dwelling-unit mix; assembly seating and toilets. No CS.md value was copied into a matrix cell.</t>
        </is>
      </c>
    </row>
  </sheetData>
  <mergeCells count="5">
    <mergeCell ref="A2:E2"/>
    <mergeCell ref="A37:C37"/>
    <mergeCell ref="A11:B11"/>
    <mergeCell ref="A1:E1"/>
    <mergeCell ref="A26:C26"/>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fitToPage="1"/>
  </sheetPr>
  <dimension ref="A1:C11"/>
  <sheetViews>
    <sheetView showGridLines="0" workbookViewId="0">
      <pane ySplit="3" topLeftCell="A4" activePane="bottomLeft" state="frozen"/>
      <selection pane="bottomLeft" activeCell="A1" sqref="A1"/>
    </sheetView>
  </sheetViews>
  <sheetFormatPr baseColWidth="8" defaultRowHeight="15"/>
  <cols>
    <col width="36" customWidth="1" min="1" max="1"/>
    <col width="52" customWidth="1" min="2" max="2"/>
    <col width="72" customWidth="1" min="3" max="3"/>
  </cols>
  <sheetData>
    <row r="1" ht="24" customHeight="1">
      <c r="A1" s="10" t="inlineStr">
        <is>
          <t>Unresolved-source register</t>
        </is>
      </c>
    </row>
    <row r="2" ht="36" customHeight="1">
      <c r="A2" s="17" t="inlineStr">
        <is>
          <t>Hold points for the 84 Verify source inventory records. Counts are record counts, not distinct numeric values. No value in this register is a design-release figure.</t>
        </is>
      </c>
    </row>
    <row r="3" ht="28" customHeight="1">
      <c r="A3" s="3" t="inlineStr">
        <is>
          <t>Affected table / clause</t>
        </is>
      </c>
      <c r="B3" s="3" t="inlineStr">
        <is>
          <t>Why unverified</t>
        </is>
      </c>
      <c r="C3" s="3" t="inlineStr">
        <is>
          <t>Control note</t>
        </is>
      </c>
    </row>
    <row r="4" ht="40" customHeight="1">
      <c r="A4" s="12" t="inlineStr">
        <is>
          <t>Table 1105.1.1</t>
        </is>
      </c>
      <c r="B4" s="12" t="inlineStr">
        <is>
          <t>2 flattened occupancy/load cells</t>
        </is>
      </c>
      <c r="C4" s="12" t="inlineStr">
        <is>
          <t>Verify published table; R-1 is listed. Mixed-use footnote uses the most restrictive listed occupant load</t>
        </is>
      </c>
    </row>
    <row r="5" ht="40" customHeight="1">
      <c r="A5" s="9" t="inlineStr">
        <is>
          <t>Table 1106.2</t>
        </is>
      </c>
      <c r="B5" s="9" t="inlineStr">
        <is>
          <t>11 flattened stall-count rows</t>
        </is>
      </c>
      <c r="C5" s="9" t="inlineStr">
        <is>
          <t>R-1 parking uses this table via 1106.3 Item 2; verify published table before stall counts</t>
        </is>
      </c>
    </row>
    <row r="6" ht="40" customHeight="1">
      <c r="A6" s="12" t="inlineStr">
        <is>
          <t>Table 1108.6.1.1</t>
        </is>
      </c>
      <c r="B6" s="12" t="inlineStr">
        <is>
          <t>33 flattened Accessible-unit cells (without / with roll-in / total)</t>
        </is>
      </c>
      <c r="C6" s="12" t="inlineStr">
        <is>
          <t>Direct for Group R-1; verify published table before guestroom mix. 50-unit site/structure rule in 1108.6.1.1 text is Verified</t>
        </is>
      </c>
    </row>
    <row r="7" ht="28" customHeight="1">
      <c r="A7" s="9" t="inlineStr">
        <is>
          <t>Table 1109.2.2.1</t>
        </is>
      </c>
      <c r="B7" s="9" t="inlineStr">
        <is>
          <t>7 flattened wheelchair-space rows</t>
        </is>
      </c>
      <c r="C7" s="9" t="inlineStr">
        <is>
          <t>Verify published table before banquet/assembly seating</t>
        </is>
      </c>
    </row>
    <row r="8" ht="28" customHeight="1">
      <c r="A8" s="12" t="inlineStr">
        <is>
          <t>Table 1109.2.7.1</t>
        </is>
      </c>
      <c r="B8" s="12" t="inlineStr">
        <is>
          <t>12 flattened receiver/HAC cells; asterisks unresolved</t>
        </is>
      </c>
      <c r="C8" s="12" t="inlineStr">
        <is>
          <t>Verify published table before ALS receiver counts</t>
        </is>
      </c>
    </row>
    <row r="9" ht="40" customHeight="1">
      <c r="A9" s="9" t="inlineStr">
        <is>
          <t>Table 1109.3</t>
        </is>
      </c>
      <c r="B9" s="9" t="inlineStr">
        <is>
          <t>2 flattened self-storage rows</t>
        </is>
      </c>
      <c r="C9" s="9" t="inlineStr">
        <is>
          <t>Not typical for this hotel; verify published table only if self-storage is added</t>
        </is>
      </c>
    </row>
    <row r="10" ht="40" customHeight="1">
      <c r="A10" s="12" t="inlineStr">
        <is>
          <t>Table 1110.13.1</t>
        </is>
      </c>
      <c r="B10" s="12" t="inlineStr">
        <is>
          <t>4 flattened check-out-aisle rows</t>
        </is>
      </c>
      <c r="C10" s="12" t="inlineStr">
        <is>
          <t>Not typical unless podium retail check-out aisles exist; verify published table</t>
        </is>
      </c>
    </row>
    <row r="11" ht="40" customHeight="1">
      <c r="A11" s="9" t="inlineStr">
        <is>
          <t>TABLE 111.4.9.1 (OCR title as printed)</t>
        </is>
      </c>
      <c r="B11" s="9" t="inlineStr">
        <is>
          <t>13 flattened boat-slip rows</t>
        </is>
      </c>
      <c r="C11" s="9" t="inlineStr">
        <is>
          <t>Title OCR; not typical for this hotel; verify published Table 1111.4.9.1 if a marina is added</t>
        </is>
      </c>
    </row>
  </sheetData>
  <mergeCells count="2">
    <mergeCell ref="A1:C1"/>
    <mergeCell ref="A2:C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Cursor Grok 4.6</dc:creator>
  <dc:title xmlns:dc="http://purl.org/dc/elements/1.1/">SBC 201 Chapter 11 Accessibility — Group R-1 High-Rise Dimensional Requirements Matrix (2024)</dc:title>
  <dc:description xmlns:dc="http://purl.org/dc/elements/1.1/">Source-only architectural advisory matrix. Not a stamped compliance document.</dc:description>
  <dc:subject xmlns:dc="http://purl.org/dc/elements/1.1/">SBC 201 (2024) Chapter 11 Group R-1 high-rise accessibility matrix</dc:subject>
  <dcterms:created xmlns:dcterms="http://purl.org/dc/terms/" xmlns:xsi="http://www.w3.org/2001/XMLSchema-instance" xsi:type="dcterms:W3CDTF">2026-08-28T02:58:13Z</dcterms:created>
  <dcterms:modified xmlns:dcterms="http://purl.org/dc/terms/" xmlns:xsi="http://www.w3.org/2001/XMLSchema-instance" xsi:type="dcterms:W3CDTF">2026-08-28T02:58:13Z</dcterms:modified>
</cp:coreProperties>
</file>