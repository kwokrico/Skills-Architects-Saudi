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Cover" sheetId="1" state="visible" r:id="rId1"/>
    <sheet xmlns:r="http://schemas.openxmlformats.org/officeDocument/2006/relationships" name="02 Legends" sheetId="2" state="visible" r:id="rId2"/>
    <sheet xmlns:r="http://schemas.openxmlformats.org/officeDocument/2006/relationships" name="03 Gap Register" sheetId="3" state="visible" r:id="rId3"/>
    <sheet xmlns:r="http://schemas.openxmlformats.org/officeDocument/2006/relationships" name="04 Requirements Matrix" sheetId="4" state="visible" r:id="rId4"/>
    <sheet xmlns:r="http://schemas.openxmlformats.org/officeDocument/2006/relationships" name="05 Project-use Controls" sheetId="5" state="visible" r:id="rId5"/>
    <sheet xmlns:r="http://schemas.openxmlformats.org/officeDocument/2006/relationships" name="06 Coverage Summary" sheetId="6" state="visible" r:id="rId6"/>
    <sheet xmlns:r="http://schemas.openxmlformats.org/officeDocument/2006/relationships" name="07 Unresolved Source" sheetId="7" state="visible" r:id="rId7"/>
  </sheets>
  <definedNames>
    <definedName name="_xlnm.Print_Titles" localSheetId="0">'01 Cover'!$1:$2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B365D"/>
      <sz val="16"/>
    </font>
    <font>
      <name val="Calibri"/>
      <b val="1"/>
      <color rgb="00FFFFFF"/>
      <sz val="10"/>
    </font>
    <font>
      <name val="Calibri"/>
      <b val="1"/>
      <color rgb="001B365D"/>
      <sz val="10"/>
    </font>
    <font>
      <name val="Calibri"/>
      <color rgb="00222222"/>
      <sz val="10"/>
    </font>
    <font>
      <name val="Calibri"/>
      <b val="1"/>
      <color rgb="001B365D"/>
      <sz val="12"/>
    </font>
    <font>
      <name val="Calibri"/>
      <b val="1"/>
      <color rgb="00006100"/>
      <sz val="10"/>
    </font>
    <font>
      <name val="Calibri"/>
      <b val="1"/>
      <color rgb="007F6000"/>
      <sz val="10"/>
    </font>
    <font>
      <name val="Calibri"/>
      <b val="1"/>
      <color rgb="00595959"/>
      <sz val="10"/>
    </font>
    <font>
      <name val="Calibri"/>
      <b val="1"/>
      <color rgb="001F4E79"/>
      <sz val="10"/>
    </font>
    <font>
      <name val="Calibri"/>
      <b val="1"/>
      <color rgb="00C65911"/>
      <sz val="10"/>
    </font>
  </fonts>
  <fills count="12">
    <fill>
      <patternFill/>
    </fill>
    <fill>
      <patternFill patternType="gray125"/>
    </fill>
    <fill>
      <patternFill patternType="solid">
        <fgColor rgb="007B2D26"/>
      </patternFill>
    </fill>
    <fill>
      <patternFill patternType="solid">
        <fgColor rgb="001B365D"/>
      </patternFill>
    </fill>
    <fill>
      <patternFill patternType="solid">
        <fgColor rgb="00F4F6F8"/>
      </patternFill>
    </fill>
    <fill>
      <patternFill patternType="solid">
        <fgColor rgb="00EEF2F6"/>
      </patternFill>
    </fill>
    <fill>
      <patternFill patternType="solid">
        <fgColor rgb="00FFFFFF"/>
      </patternFill>
    </fill>
    <fill>
      <patternFill patternType="solid">
        <fgColor rgb="00C6EFCE"/>
      </patternFill>
    </fill>
    <fill>
      <patternFill patternType="solid">
        <fgColor rgb="00FFF2CC"/>
      </patternFill>
    </fill>
    <fill>
      <patternFill patternType="solid">
        <fgColor rgb="00E7E6E6"/>
      </patternFill>
    </fill>
    <fill>
      <patternFill patternType="solid">
        <fgColor rgb="00DDEBF7"/>
      </patternFill>
    </fill>
    <fill>
      <patternFill patternType="solid">
        <fgColor rgb="00FCE4D6"/>
      </patternFill>
    </fill>
  </fills>
  <borders count="2">
    <border>
      <left/>
      <right/>
      <top/>
      <bottom/>
      <diagonal/>
    </border>
    <border>
      <left style="thin">
        <color rgb="00C5CDD6"/>
      </left>
      <right style="thin">
        <color rgb="00C5CDD6"/>
      </right>
      <top style="thin">
        <color rgb="00C5CDD6"/>
      </top>
      <bottom style="thin">
        <color rgb="00C5CDD6"/>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0" borderId="1" applyAlignment="1" pivotButton="0" quotePrefix="0" xfId="0">
      <alignment vertical="top" wrapText="1"/>
    </xf>
    <xf numFmtId="0" fontId="5" fillId="0" borderId="0" pivotButton="0" quotePrefix="0" xfId="0"/>
    <xf numFmtId="0" fontId="3"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5" borderId="1" applyAlignment="1" pivotButton="0" quotePrefix="0" xfId="0">
      <alignment vertical="top" wrapText="1"/>
    </xf>
    <xf numFmtId="0" fontId="1" fillId="0" borderId="0" pivotButton="0" quotePrefix="0" xfId="0"/>
    <xf numFmtId="0" fontId="6" fillId="7" borderId="1" applyAlignment="1" pivotButton="0" quotePrefix="0" xfId="0">
      <alignment horizontal="center" vertical="center" wrapText="1"/>
    </xf>
    <xf numFmtId="0" fontId="4" fillId="6" borderId="1" applyAlignment="1" pivotButton="0" quotePrefix="0" xfId="0">
      <alignment vertical="top"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4" fillId="0" borderId="0" applyAlignment="1" pivotButton="0" quotePrefix="0" xfId="0">
      <alignment vertical="top" wrapText="1"/>
    </xf>
    <xf numFmtId="0" fontId="3" fillId="0" borderId="1" pivotButton="0" quotePrefix="0" xfId="0"/>
    <xf numFmtId="0" fontId="4" fillId="0" borderId="1" pivotButton="0" quotePrefix="0" xfId="0"/>
    <xf numFmtId="0" fontId="4" fillId="0" borderId="1" applyAlignment="1" pivotButton="0" quotePrefix="0" xfId="0">
      <alignment horizontal="center" vertical="center"/>
    </xf>
    <xf numFmtId="0" fontId="3" fillId="7" borderId="1" pivotButton="0" quotePrefix="0" xfId="0"/>
    <xf numFmtId="0" fontId="4" fillId="7" borderId="1" applyAlignment="1" pivotButton="0" quotePrefix="0" xfId="0">
      <alignment horizontal="center" vertical="center"/>
    </xf>
    <xf numFmtId="0" fontId="3" fillId="11" borderId="1" pivotButton="0" quotePrefix="0" xfId="0"/>
    <xf numFmtId="0" fontId="4" fillId="11" borderId="1" pivotButton="0" quotePrefix="0" xfId="0"/>
    <xf numFmtId="1" fontId="4" fillId="6" borderId="1" applyAlignment="1" pivotButton="0" quotePrefix="0" xfId="0">
      <alignment vertical="top" wrapText="1"/>
    </xf>
    <xf numFmtId="1" fontId="4" fillId="5" borderId="1" applyAlignment="1" pivotButton="0" quotePrefix="0" xfId="0">
      <alignment vertical="top" wrapText="1"/>
    </xf>
  </cellXfs>
  <cellStyles count="1">
    <cellStyle name="Normal" xfId="0" builtinId="0" hidden="0"/>
  </cellStyles>
  <dxfs count="5">
    <dxf>
      <font>
        <name val="Calibri"/>
        <b val="1"/>
        <color rgb="00006100"/>
        <sz val="10"/>
      </font>
      <fill>
        <patternFill patternType="solid">
          <fgColor rgb="00C6EFCE"/>
        </patternFill>
      </fill>
    </dxf>
    <dxf>
      <font>
        <name val="Calibri"/>
        <b val="1"/>
        <color rgb="007F6000"/>
        <sz val="10"/>
      </font>
      <fill>
        <patternFill patternType="solid">
          <fgColor rgb="00FFF2CC"/>
        </patternFill>
      </fill>
    </dxf>
    <dxf>
      <font>
        <name val="Calibri"/>
        <b val="1"/>
        <color rgb="001F4E79"/>
        <sz val="10"/>
      </font>
      <fill>
        <patternFill patternType="solid">
          <fgColor rgb="00DDEBF7"/>
        </patternFill>
      </fill>
    </dxf>
    <dxf>
      <font>
        <name val="Calibri"/>
        <b val="1"/>
        <color rgb="00595959"/>
        <sz val="10"/>
      </font>
      <fill>
        <patternFill patternType="solid">
          <fgColor rgb="00E7E6E6"/>
        </patternFill>
      </fill>
    </dxf>
    <dxf>
      <font>
        <name val="Calibri"/>
        <b val="1"/>
        <color rgb="00C65911"/>
        <sz val="10"/>
      </font>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Numeric records by top-level section</a:t>
            </a:r>
          </a:p>
        </rich>
      </tx>
    </title>
    <plotArea>
      <barChart>
        <barDir val="bar"/>
        <grouping val="clustered"/>
        <ser>
          <idx val="0"/>
          <order val="0"/>
          <tx>
            <strRef>
              <f>'06 Coverage Summary'!B12</f>
            </strRef>
          </tx>
          <spPr>
            <a:ln xmlns:a="http://schemas.openxmlformats.org/drawingml/2006/main">
              <a:prstDash val="solid"/>
            </a:ln>
          </spPr>
          <cat>
            <numRef>
              <f>'06 Coverage Summary'!$A$13:$A$17</f>
            </numRef>
          </cat>
          <val>
            <numRef>
              <f>'06 Coverage Summary'!$B$13:$B$17</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Records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Section</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overMetadata" displayName="CoverMetadata" ref="A4:B14" headerRowCount="1">
  <autoFilter ref="A4:B14"/>
  <tableColumns count="2">
    <tableColumn id="1" name="Field"/>
    <tableColumn id="2" name="Value"/>
  </tableColumns>
  <tableStyleInfo name="TableStyleMedium2" showRowStripes="0" showColumnStripes="0"/>
</table>
</file>

<file path=xl/tables/table2.xml><?xml version="1.0" encoding="utf-8"?>
<table xmlns="http://schemas.openxmlformats.org/spreadsheetml/2006/main" id="2" name="CoverAssumptions" displayName="CoverAssumptions" ref="A17:B24" headerRowCount="1">
  <autoFilter ref="A17:B24"/>
  <tableColumns count="2">
    <tableColumn id="1" name="#"/>
    <tableColumn id="2" name="Assumption"/>
  </tableColumns>
  <tableStyleInfo name="TableStyleMedium2" showRowStripes="0" showColumnStripes="0"/>
</table>
</file>

<file path=xl/tables/table3.xml><?xml version="1.0" encoding="utf-8"?>
<table xmlns="http://schemas.openxmlformats.org/spreadsheetml/2006/main" id="3" name="Applicability" displayName="Applicability" ref="A4:B8" headerRowCount="1">
  <autoFilter ref="A4:B8"/>
  <tableColumns count="2">
    <tableColumn id="1" name="Status"/>
    <tableColumn id="2" name="Meaning"/>
  </tableColumns>
  <tableStyleInfo name="TableStyleMedium2" showRowStripes="0" showColumnStripes="0"/>
</table>
</file>

<file path=xl/tables/table4.xml><?xml version="1.0" encoding="utf-8"?>
<table xmlns="http://schemas.openxmlformats.org/spreadsheetml/2006/main" id="4" name="Sourceconfidence" displayName="Sourceconfidence" ref="A11:B13" headerRowCount="1">
  <autoFilter ref="A11:B13"/>
  <tableColumns count="2">
    <tableColumn id="1" name="Status"/>
    <tableColumn id="2" name="Meaning"/>
  </tableColumns>
  <tableStyleInfo name="TableStyleMedium2" showRowStripes="0" showColumnStripes="0"/>
</table>
</file>

<file path=xl/tables/table5.xml><?xml version="1.0" encoding="utf-8"?>
<table xmlns="http://schemas.openxmlformats.org/spreadsheetml/2006/main" id="5" name="GapRegister" displayName="GapRegister" ref="A3:D10" headerRowCount="1">
  <autoFilter ref="A3:D10"/>
  <tableColumns count="4">
    <tableColumn id="1" name="Decision / gap"/>
    <tableColumn id="2" name="Current project basis"/>
    <tableColumn id="3" name="Why it controls Chapter 11 application"/>
    <tableColumn id="4" name="Required project action"/>
  </tableColumns>
  <tableStyleInfo name="TableStyleMedium2" showRowStripes="0" showColumnStripes="0"/>
</table>
</file>

<file path=xl/tables/table6.xml><?xml version="1.0" encoding="utf-8"?>
<table xmlns="http://schemas.openxmlformats.org/spreadsheetml/2006/main" id="6" name="RequirementsMatrix" displayName="RequirementsMatrix" ref="A4:I83" headerRowCount="1">
  <autoFilter ref="A4:I83"/>
  <tableColumns count="9">
    <tableColumn id="1" name="Section"/>
    <tableColumn id="2" name="Cite"/>
    <tableColumn id="3" name="Component / check"/>
    <tableColumn id="4" name="Exact source requirement / value"/>
    <tableColumn id="5" name="Trigger / condition"/>
    <tableColumn id="6" name="Exceptions / branch"/>
    <tableColumn id="7" name="Accessible status"/>
    <tableColumn id="8" name="Design action"/>
    <tableColumn id="9" name="Source confidence"/>
  </tableColumns>
  <tableStyleInfo name="TableStyleMedium2" showRowStripes="0" showColumnStripes="0"/>
</table>
</file>

<file path=xl/tables/table7.xml><?xml version="1.0" encoding="utf-8"?>
<table xmlns="http://schemas.openxmlformats.org/spreadsheetml/2006/main" id="7" name="ProjectUseControls" displayName="ProjectUseControls" ref="A3:B8" headerRowCount="1">
  <autoFilter ref="A3:B8"/>
  <tableColumns count="2">
    <tableColumn id="1" name="#"/>
    <tableColumn id="2" name="Control"/>
  </tableColumns>
  <tableStyleInfo name="TableStyleMedium2" showRowStripes="0" showColumnStripes="0"/>
</table>
</file>

<file path=xl/tables/table8.xml><?xml version="1.0" encoding="utf-8"?>
<table xmlns="http://schemas.openxmlformats.org/spreadsheetml/2006/main" id="8" name="CoverageKPIs" displayName="CoverageKPIs" ref="A4:B7" headerRowCount="1">
  <autoFilter ref="A4:B7"/>
  <tableColumns count="2">
    <tableColumn id="1" name="Metric"/>
    <tableColumn id="2" name="Value"/>
  </tableColumns>
  <tableStyleInfo name="TableStyleMedium2" showRowStripes="0" showColumnStripes="0"/>
</table>
</file>

<file path=xl/tables/table9.xml><?xml version="1.0" encoding="utf-8"?>
<table xmlns="http://schemas.openxmlformats.org/spreadsheetml/2006/main" id="9" name="CoverageBySection" displayName="CoverageBySection" ref="A12:B17" headerRowCount="1">
  <autoFilter ref="A12:B17"/>
  <tableColumns count="2">
    <tableColumn id="1" name="Top-level section"/>
    <tableColumn id="2" name="Numeric records"/>
  </tableColumns>
  <tableStyleInfo name="TableStyleMedium2" showRowStripes="0" showColumnStripes="0"/>
</table>
</file>

<file path=xl/tables/table10.xml><?xml version="1.0" encoding="utf-8"?>
<table xmlns="http://schemas.openxmlformats.org/spreadsheetml/2006/main" id="10" name="UnresolvedSourceRegister" displayName="UnresolvedSourceRegister" ref="A3:C13" headerRowCount="1">
  <autoFilter ref="A3:C13"/>
  <tableColumns count="3">
    <tableColumn id="1" name="Affected table / clause"/>
    <tableColumn id="2" name="Why unverified"/>
    <tableColumn id="3" name="Control note"/>
  </tableColumns>
  <tableStyleInfo name="TableStyleMedium2"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3.xml.rels><Relationships xmlns="http://schemas.openxmlformats.org/package/2006/relationships"><Relationship Type="http://schemas.openxmlformats.org/officeDocument/2006/relationships/table" Target="/xl/tables/table5.xml" Id="rId1"/></Relationships>
</file>

<file path=xl/worksheets/_rels/sheet4.xml.rels><Relationships xmlns="http://schemas.openxmlformats.org/package/2006/relationships"><Relationship Type="http://schemas.openxmlformats.org/officeDocument/2006/relationships/table" Target="/xl/tables/table6.xml" Id="rId1"/></Relationships>
</file>

<file path=xl/worksheets/_rels/sheet5.xml.rels><Relationships xmlns="http://schemas.openxmlformats.org/package/2006/relationships"><Relationship Type="http://schemas.openxmlformats.org/officeDocument/2006/relationships/table" Target="/xl/tables/table7.xml" Id="rId1"/></Relationships>
</file>

<file path=xl/worksheets/_rels/sheet6.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8.xml" Id="rId2"/><Relationship Type="http://schemas.openxmlformats.org/officeDocument/2006/relationships/table" Target="/xl/tables/table9.xml" Id="rId3"/></Relationships>
</file>

<file path=xl/worksheets/_rels/sheet7.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fitToPage="1"/>
  </sheetPr>
  <dimension ref="A1:B24"/>
  <sheetViews>
    <sheetView showGridLines="0"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36" customHeight="1">
      <c r="A1" s="1" t="inlineStr">
        <is>
          <t>ICC A117.1 Chapter 11 Dwelling Units and Sleeping Units — Accessible Dimensional Requirements Matrix (2017)</t>
        </is>
      </c>
    </row>
    <row r="2" ht="36" customHeight="1">
      <c r="A2" s="2" t="inlineStr">
        <is>
          <t>Source-only architectural advisory matrix for design coordination. It is not a stamped compliance statement, accessibility consultant report, SCD NOC, SBPS approval, legal opinion, or permission to construct.</t>
        </is>
      </c>
    </row>
    <row r="4" ht="28" customHeight="1">
      <c r="A4" s="3" t="inlineStr">
        <is>
          <t>Field</t>
        </is>
      </c>
      <c r="B4" s="3" t="inlineStr">
        <is>
          <t>Value</t>
        </is>
      </c>
    </row>
    <row r="5" ht="56" customHeight="1">
      <c r="A5" s="4" t="inlineStr">
        <is>
          <t>Project basis</t>
        </is>
      </c>
      <c r="B5" s="5" t="inlineStr">
        <is>
          <t>Mixed-use tall building containing Group R-1 (hotel) with Group R-2 residential sharing podium, parking and routes. An occupied floor is stated to be more than 23 m above the relevant reference level. This matrix filters ICC A117.1 Chapter 11 for Accessible units (Section 1102).</t>
        </is>
      </c>
    </row>
    <row r="6" ht="28" customHeight="1">
      <c r="A6" s="4" t="inlineStr">
        <is>
          <t>Unit type</t>
        </is>
      </c>
      <c r="B6" s="5" t="inlineStr">
        <is>
          <t>Accessible (1102). Type A, Type B and Type C interiors are omitted from this file.</t>
        </is>
      </c>
    </row>
    <row r="7" ht="40" customHeight="1">
      <c r="A7" s="4" t="inlineStr">
        <is>
          <t>Deliverable tier</t>
        </is>
      </c>
      <c r="B7" s="5" t="inlineStr">
        <is>
          <t>Project-use matrices in Sections 4–14 (design-check rows, not pasted inventory), plus project-use controls, a coverage summary and an unresolved-source register. The full row inventory is not published.</t>
        </is>
      </c>
    </row>
    <row r="8" ht="56" customHeight="1">
      <c r="A8" s="4" t="inlineStr">
        <is>
          <t>Code/source basis</t>
        </is>
      </c>
      <c r="B8" s="5" t="inlineStr">
        <is>
          <t>ICC A117.1 (2017), Chapter 11, source file Reference\2017 ICC A117_1 Accessible and Usable Buildings and Facilities\source_reference\Chapter_11 — DWELLING UNITS AND SLEEPING UNITS.txt. Companion numbers inlined from the attached 2017 Chapter 1–10 source_reference extracts where 1102 charges those sections.</t>
        </is>
      </c>
    </row>
    <row r="9" ht="40" customHeight="1">
      <c r="A9" s="4" t="inlineStr">
        <is>
          <t>Extraction audit</t>
        </is>
      </c>
      <c r="B9" s="5" t="inlineStr">
        <is>
          <t>Internal inventory: 241 independently checkable numeric records (218 Verified, 23 Verify source). Unresolved OCR/flattened tables are listed in the register and are not design-release values.</t>
        </is>
      </c>
    </row>
    <row r="10" ht="28" customHeight="1">
      <c r="A10" s="4" t="inlineStr">
        <is>
          <t>Inspecting model</t>
        </is>
      </c>
      <c r="B10" s="5" t="inlineStr">
        <is>
          <t>Cursor Grok 4.6.</t>
        </is>
      </c>
    </row>
    <row r="11" ht="28" customHeight="1">
      <c r="A11" s="4" t="inlineStr">
        <is>
          <t>Prepared</t>
        </is>
      </c>
      <c r="B11" s="5" t="inlineStr">
        <is>
          <t>2026-08-28.</t>
        </is>
      </c>
    </row>
    <row r="12" ht="40" customHeight="1">
      <c r="A12" s="4" t="inlineStr">
        <is>
          <t>Status</t>
        </is>
      </c>
      <c r="B12" s="5" t="inlineStr">
        <is>
          <t>Source-only architectural advisory matrix for design coordination. It is not a stamped compliance statement, accessibility consultant report, SCD NOC, SBPS approval, legal opinion, or permission to construct.</t>
        </is>
      </c>
    </row>
    <row r="13" ht="28" customHeight="1">
      <c r="A13" s="4" t="inlineStr">
        <is>
          <t>Scoping companion</t>
        </is>
      </c>
      <c r="B13" s="5" t="inlineStr">
        <is>
          <t>Counts, which units, and where Accessible units are required are SBC 201 Chapter 11. This file is technical geometry only.</t>
        </is>
      </c>
    </row>
    <row r="14" ht="56" customHeight="1">
      <c r="A14" s="4" t="inlineStr">
        <is>
          <t>Edition gap</t>
        </is>
      </c>
      <c r="B14" s="5" t="inlineStr">
        <is>
          <t>SBC 201 Chapter 35 lists ICC A117.1—09. Charging SBC 1102.1 has no year. This extract is 2017. 2017 new-building clear floor space, turning space and door manoeuvre are larger than 2009. Do not treat 2017 millimetres as the legal SBC minimum. Do not back-fill 2009 values from memory.</t>
        </is>
      </c>
    </row>
    <row r="16">
      <c r="A16" s="6" t="inlineStr">
        <is>
          <t>Scope and assumptions</t>
        </is>
      </c>
    </row>
    <row r="17" ht="28" customHeight="1">
      <c r="A17" s="3" t="inlineStr">
        <is>
          <t>#</t>
        </is>
      </c>
      <c r="B17" s="3" t="inlineStr">
        <is>
          <t>Assumption</t>
        </is>
      </c>
    </row>
    <row r="18" ht="40" customHeight="1">
      <c r="A18" s="7" t="n">
        <v>1</v>
      </c>
      <c r="B18" s="5" t="inlineStr">
        <is>
          <t>Group R-1 hotel Accessible guestrooms are the Direct typical. R-2 Accessible units, if provided, use the same 1102 technical set.</t>
        </is>
      </c>
    </row>
    <row r="19" ht="40" customHeight="1">
      <c r="A19" s="8" t="n">
        <v>2</v>
      </c>
      <c r="B19" s="9" t="inlineStr">
        <is>
          <t>New construction is assumed. Existing-building dimensions are Conditional and are never mixed onto a Direct row with the 2017 new-building option set.</t>
        </is>
      </c>
    </row>
    <row r="20" ht="28" customHeight="1">
      <c r="A20" s="7" t="n">
        <v>3</v>
      </c>
      <c r="B20" s="5" t="inlineStr">
        <is>
          <t>AHJ, SCD NOC, guestroom count and kitchenette provision are unconfirmed.</t>
        </is>
      </c>
    </row>
    <row r="21" ht="40" customHeight="1">
      <c r="A21" s="8" t="n">
        <v>4</v>
      </c>
      <c r="B21" s="9" t="inlineStr">
        <is>
          <t>Type C (1105) is omitted. Communication features (1106) are a Conditional overlay, not a substitute for 1102 mobility geometry.</t>
        </is>
      </c>
    </row>
    <row r="22" ht="40" customHeight="1">
      <c r="A22" s="7" t="n">
        <v>5</v>
      </c>
      <c r="B22" s="5" t="inlineStr">
        <is>
          <t>Children’s toilets (604.11), urinals (605), public toilet compartments (604.9–604.10), drinking fountains (602) and recreational facilities (Chapter 10) are omitted unless 1102 names them.</t>
        </is>
      </c>
    </row>
    <row r="23" ht="28" customHeight="1">
      <c r="A23" s="8" t="n">
        <v>6</v>
      </c>
      <c r="B23" s="9" t="inlineStr">
        <is>
          <t>FIGURE captions are dependencies, not values. Flattened &lt;table&gt; blobs are not reconstructed as Verified cells.</t>
        </is>
      </c>
    </row>
    <row r="24" ht="28" customHeight="1">
      <c r="A24" s="7" t="n">
        <v>7</v>
      </c>
      <c r="B24" s="5" t="inlineStr">
        <is>
          <t>ASME A17.1, BHMA A156, NFPA 72 and AAMA 513 are named companions only; unstated values are not imported.</t>
        </is>
      </c>
    </row>
  </sheetData>
  <mergeCells count="3">
    <mergeCell ref="A16:B16"/>
    <mergeCell ref="A2:B2"/>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fitToPage="1"/>
  </sheetPr>
  <dimension ref="A1:B13"/>
  <sheetViews>
    <sheetView showGridLines="0" workbookViewId="0">
      <pane ySplit="2" topLeftCell="A3" activePane="bottomLeft" state="frozen"/>
      <selection pane="bottomLeft" activeCell="A1" sqref="A1"/>
    </sheetView>
  </sheetViews>
  <sheetFormatPr baseColWidth="8" defaultRowHeight="15"/>
  <cols>
    <col width="28" customWidth="1" min="1" max="1"/>
    <col width="100" customWidth="1" min="2" max="2"/>
  </cols>
  <sheetData>
    <row r="1">
      <c r="A1" s="10" t="inlineStr">
        <is>
          <t>Legends</t>
        </is>
      </c>
    </row>
    <row r="3">
      <c r="A3" s="6" t="inlineStr">
        <is>
          <t>Applicability</t>
        </is>
      </c>
    </row>
    <row r="4" ht="28" customHeight="1">
      <c r="A4" s="3" t="inlineStr">
        <is>
          <t>Status</t>
        </is>
      </c>
      <c r="B4" s="3" t="inlineStr">
        <is>
          <t>Meaning</t>
        </is>
      </c>
    </row>
    <row r="5" ht="28" customHeight="1">
      <c r="A5" s="11" t="inlineStr">
        <is>
          <t>Direct</t>
        </is>
      </c>
      <c r="B5" s="12" t="inlineStr">
        <is>
          <t>Expected to govern Accessible-unit interiors (and the unit accessible route) once geometry is confirmed.</t>
        </is>
      </c>
    </row>
    <row r="6" ht="40" customHeight="1">
      <c r="A6" s="13" t="inlineStr">
        <is>
          <t>Conditional</t>
        </is>
      </c>
      <c r="B6" s="9" t="inlineStr">
        <is>
          <t>Governs only if the stated feature, existing-building branch, kitchenette, in-unit ramp/lift/elevator, or communication overlay exists.</t>
        </is>
      </c>
    </row>
    <row r="7" ht="28" customHeight="1">
      <c r="A7" s="14" t="inlineStr">
        <is>
          <t>Not typical</t>
        </is>
      </c>
      <c r="B7" s="12" t="inlineStr">
        <is>
          <t>Unrelated unit-type-only rule; omitted unless the gap register already opened that use.</t>
        </is>
      </c>
    </row>
    <row r="8" ht="28" customHeight="1">
      <c r="A8" s="15" t="inlineStr">
        <is>
          <t>External verification</t>
        </is>
      </c>
      <c r="B8" s="9" t="inlineStr">
        <is>
          <t>A figure is missing, a flattened table is unread, or AHJ/edition must be confirmed first.</t>
        </is>
      </c>
    </row>
    <row r="10">
      <c r="A10" s="6" t="inlineStr">
        <is>
          <t>Source confidence</t>
        </is>
      </c>
    </row>
    <row r="11" ht="28" customHeight="1">
      <c r="A11" s="3" t="inlineStr">
        <is>
          <t>Status</t>
        </is>
      </c>
      <c r="B11" s="3" t="inlineStr">
        <is>
          <t>Meaning</t>
        </is>
      </c>
    </row>
    <row r="12" ht="28" customHeight="1">
      <c r="A12" s="11" t="inlineStr">
        <is>
          <t>Verified</t>
        </is>
      </c>
      <c r="B12" s="12" t="inlineStr">
        <is>
          <t>Unambiguous mandatory source text or readable footnote after a table blob.</t>
        </is>
      </c>
    </row>
    <row r="13" ht="28" customHeight="1">
      <c r="A13" s="16" t="inlineStr">
        <is>
          <t>Verify source</t>
        </is>
      </c>
      <c r="B13" s="9" t="inlineStr">
        <is>
          <t>OCR, flattened table, page-split, or footnote attachment is unresolved. Not a design-release value.</t>
        </is>
      </c>
    </row>
  </sheetData>
  <mergeCells count="3">
    <mergeCell ref="A3:B3"/>
    <mergeCell ref="A10:B10"/>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D10"/>
  <sheetViews>
    <sheetView showGridLines="0" workbookViewId="0">
      <pane ySplit="3" topLeftCell="A4" activePane="bottomLeft" state="frozen"/>
      <selection pane="bottomLeft" activeCell="A1" sqref="A1"/>
    </sheetView>
  </sheetViews>
  <sheetFormatPr baseColWidth="8" defaultRowHeight="15"/>
  <cols>
    <col width="32" customWidth="1" min="1" max="1"/>
    <col width="42" customWidth="1" min="2" max="2"/>
    <col width="52" customWidth="1" min="3" max="3"/>
    <col width="48" customWidth="1" min="4" max="4"/>
  </cols>
  <sheetData>
    <row r="1" ht="24" customHeight="1">
      <c r="A1" s="10" t="inlineStr">
        <is>
          <t>Project decision and gap register</t>
        </is>
      </c>
    </row>
    <row r="2" ht="36" customHeight="1">
      <c r="A2" s="17" t="inlineStr">
        <is>
          <t>Decisions that control how ICC A117.1 Chapter 11 is applied to this unit type.</t>
        </is>
      </c>
    </row>
    <row r="3" ht="28" customHeight="1">
      <c r="A3" s="3" t="inlineStr">
        <is>
          <t>Decision / gap</t>
        </is>
      </c>
      <c r="B3" s="3" t="inlineStr">
        <is>
          <t>Current project basis</t>
        </is>
      </c>
      <c r="C3" s="3" t="inlineStr">
        <is>
          <t>Why it controls Chapter 11 application</t>
        </is>
      </c>
      <c r="D3" s="3" t="inlineStr">
        <is>
          <t>Required project action</t>
        </is>
      </c>
    </row>
    <row r="4" ht="56" customHeight="1">
      <c r="A4" s="12" t="inlineStr">
        <is>
          <t>A117.1 edition lock</t>
        </is>
      </c>
      <c r="B4" s="12" t="inlineStr">
        <is>
          <t>Extracted edition is 2017; SBC 201 Chapter 35 lists A117.1—09; SBC 1102.1 has no year</t>
        </is>
      </c>
      <c r="C4" s="12" t="inlineStr">
        <is>
          <t>2017 new CFS is 52 × 30 inches (1320 × 760 mm); turning is 67 inches (1700 mm) circular; 2009 used smaller CFS/turning</t>
        </is>
      </c>
      <c r="D4" s="12" t="inlineStr">
        <is>
          <t>AHJ/code consultant to lock 2009 vs 2017 before freezing Accessible-guestroom typicals; do not treat this extract as the legal SBC minimum</t>
        </is>
      </c>
    </row>
    <row r="5" ht="40" customHeight="1">
      <c r="A5" s="9" t="inlineStr">
        <is>
          <t>New vs existing</t>
        </is>
      </c>
      <c r="B5" s="9" t="inlineStr">
        <is>
          <t>New construction assumed</t>
        </is>
      </c>
      <c r="C5" s="9" t="inlineStr">
        <is>
          <t>403.5, 304.3, 305.3, 404.2.3 footnotes and 608.2.1.2 split new/existing</t>
        </is>
      </c>
      <c r="D5" s="9" t="inlineStr">
        <is>
          <t>Hold Direct rows on the new-building option set; use existing rows only on an alteration</t>
        </is>
      </c>
    </row>
    <row r="6" ht="40" customHeight="1">
      <c r="A6" s="12" t="inlineStr">
        <is>
          <t>Mixed R-1 / R-2</t>
        </is>
      </c>
      <c r="B6" s="12" t="inlineStr">
        <is>
          <t>R-1 hotel plus R-2 apartments on one structure</t>
        </is>
      </c>
      <c r="C6" s="12" t="inlineStr">
        <is>
          <t>Accessible-unit interiors follow 1102 for both occupancies; Type A/B files cover apartment typicals</t>
        </is>
      </c>
      <c r="D6" s="12" t="inlineStr">
        <is>
          <t>Do not draw Type A adaptable baths or Type B 31 3/4 inches (805 mm) doors on Accessible guestrooms</t>
        </is>
      </c>
    </row>
    <row r="7" ht="40" customHeight="1">
      <c r="A7" s="9" t="inlineStr">
        <is>
          <t>Kitchen / kitchenette</t>
        </is>
      </c>
      <c r="B7" s="9" t="inlineStr">
        <is>
          <t>Unconfirmed in hotel rooms</t>
        </is>
      </c>
      <c r="C7" s="9" t="inlineStr">
        <is>
          <t>1102.12 charges Section 804 only where a kitchen is provided</t>
        </is>
      </c>
      <c r="D7" s="9" t="inlineStr">
        <is>
          <t>Apply Section 8 only to Accessible units that include a kitchen or kitchenette</t>
        </is>
      </c>
    </row>
    <row r="8" ht="40" customHeight="1">
      <c r="A8" s="12" t="inlineStr">
        <is>
          <t>In-unit ramp / elevator / lift</t>
        </is>
      </c>
      <c r="B8" s="12" t="inlineStr">
        <is>
          <t>Not typical in a hotel guestroom</t>
        </is>
      </c>
      <c r="C8" s="12" t="inlineStr">
        <is>
          <t>1102.6–1102.8 charge 405 and 407–410 only if those elements exist inside the unit</t>
        </is>
      </c>
      <c r="D8" s="12" t="inlineStr">
        <is>
          <t>Confirm duplex/maisonette or private elevator before using Section 12</t>
        </is>
      </c>
    </row>
    <row r="9" ht="40" customHeight="1">
      <c r="A9" s="9" t="inlineStr">
        <is>
          <t>Communication overlay</t>
        </is>
      </c>
      <c r="B9" s="9" t="inlineStr">
        <is>
          <t>Unconfirmed</t>
        </is>
      </c>
      <c r="C9" s="9" t="inlineStr">
        <is>
          <t>1106 is a separate unit type overlay, not a mobility substitute</t>
        </is>
      </c>
      <c r="D9" s="9" t="inlineStr">
        <is>
          <t>Apply Section 14 only to units also scoped for communication features</t>
        </is>
      </c>
    </row>
    <row r="10" ht="40" customHeight="1">
      <c r="A10" s="12" t="inlineStr">
        <is>
          <t>AHJ / NOC</t>
        </is>
      </c>
      <c r="B10" s="12" t="inlineStr">
        <is>
          <t>Unconfirmed</t>
        </is>
      </c>
      <c r="C10" s="12" t="inlineStr">
        <is>
          <t>Stamped compliance, SCD and SBPS cannot be concluded from this extract</t>
        </is>
      </c>
      <c r="D10" s="12" t="inlineStr">
        <is>
          <t>Engage the qualified local accessibility consultant before design freeze</t>
        </is>
      </c>
    </row>
  </sheetData>
  <mergeCells count="2">
    <mergeCell ref="A1:D1"/>
    <mergeCell ref="A2:D2"/>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I8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26" customWidth="1" min="2" max="2"/>
    <col width="34" customWidth="1" min="3" max="3"/>
    <col width="52" customWidth="1" min="4" max="4"/>
    <col width="36" customWidth="1" min="5" max="5"/>
    <col width="48" customWidth="1" min="6" max="6"/>
    <col width="22" customWidth="1" min="7" max="7"/>
    <col width="48" customWidth="1" min="8" max="8"/>
    <col width="16" customWidth="1" min="9" max="9"/>
  </cols>
  <sheetData>
    <row r="1">
      <c r="A1" s="10" t="inlineStr">
        <is>
          <t>Project-use requirements matrix (Sections 4–14)</t>
        </is>
      </c>
    </row>
    <row r="2" ht="32" customHeight="1">
      <c r="A2" s="17" t="inlineStr">
        <is>
          <t>Design-check rows. Filter by section, unit status, or source confidence. Verify source rows are not design-release values.</t>
        </is>
      </c>
    </row>
    <row r="4" ht="32" customHeight="1">
      <c r="A4" s="3" t="inlineStr">
        <is>
          <t>Section</t>
        </is>
      </c>
      <c r="B4" s="3" t="inlineStr">
        <is>
          <t>Cite</t>
        </is>
      </c>
      <c r="C4" s="3" t="inlineStr">
        <is>
          <t>Component / check</t>
        </is>
      </c>
      <c r="D4" s="3" t="inlineStr">
        <is>
          <t>Exact source requirement / value</t>
        </is>
      </c>
      <c r="E4" s="3" t="inlineStr">
        <is>
          <t>Trigger / condition</t>
        </is>
      </c>
      <c r="F4" s="3" t="inlineStr">
        <is>
          <t>Exceptions / branch</t>
        </is>
      </c>
      <c r="G4" s="3" t="inlineStr">
        <is>
          <t>Accessible status</t>
        </is>
      </c>
      <c r="H4" s="3" t="inlineStr">
        <is>
          <t>Design action</t>
        </is>
      </c>
      <c r="I4" s="3" t="inlineStr">
        <is>
          <t>Source confidence</t>
        </is>
      </c>
    </row>
    <row r="5" ht="56" customHeight="1">
      <c r="A5" s="12" t="inlineStr">
        <is>
          <t>4. Unit accessible route, turning and walking surfaces</t>
        </is>
      </c>
      <c r="B5" s="12" t="inlineStr">
        <is>
          <t>1102.2</t>
        </is>
      </c>
      <c r="C5" s="12" t="inlineStr">
        <is>
          <t>Primary entrance location</t>
        </is>
      </c>
      <c r="D5" s="12" t="inlineStr">
        <is>
          <t>Primary entrance on an accessible route from public and common areas; not to a bedroom unless it is the only entrance</t>
        </is>
      </c>
      <c r="E5" s="12" t="inlineStr">
        <is>
          <t>Accessible units</t>
        </is>
      </c>
      <c r="F5" s="12" t="inlineStr">
        <is>
          <t>None stated</t>
        </is>
      </c>
      <c r="G5" s="11" t="inlineStr">
        <is>
          <t>Direct</t>
        </is>
      </c>
      <c r="H5" s="12" t="inlineStr">
        <is>
          <t>Place the Accessible-guestroom entry on the corridor accessible route; do not enter through a bedroom</t>
        </is>
      </c>
      <c r="I5" s="11" t="inlineStr">
        <is>
          <t>Verified</t>
        </is>
      </c>
    </row>
    <row r="6" ht="72" customHeight="1">
      <c r="A6" s="9" t="inlineStr">
        <is>
          <t>4. Unit accessible route, turning and walking surfaces</t>
        </is>
      </c>
      <c r="B6" s="9" t="inlineStr">
        <is>
          <t>1102.3.1</t>
        </is>
      </c>
      <c r="C6" s="9" t="inlineStr">
        <is>
          <t>Unit accessible-route extent</t>
        </is>
      </c>
      <c r="D6" s="9" t="inlineStr">
        <is>
          <t>At least one accessible route shall connect all spaces and elements that are part of the unit and shall coincide with or be in the same area as the general circulation path</t>
        </is>
      </c>
      <c r="E6" s="9" t="inlineStr">
        <is>
          <t>Accessible-unit interiors</t>
        </is>
      </c>
      <c r="F6" s="9" t="inlineStr">
        <is>
          <t>Unfinished attics and unfinished basements</t>
        </is>
      </c>
      <c r="G6" s="11" t="inlineStr">
        <is>
          <t>Direct</t>
        </is>
      </c>
      <c r="H6" s="9" t="inlineStr">
        <is>
          <t>Connect entry, sleeping, living, required bath, kitchenette and balcony on one accessible route</t>
        </is>
      </c>
      <c r="I6" s="11" t="inlineStr">
        <is>
          <t>Verified</t>
        </is>
      </c>
    </row>
    <row r="7" ht="72" customHeight="1">
      <c r="A7" s="12" t="inlineStr">
        <is>
          <t>4. Unit accessible route, turning and walking surfaces</t>
        </is>
      </c>
      <c r="B7" s="12" t="inlineStr">
        <is>
          <t>1102.3.2 / 304.3.1.1</t>
        </is>
      </c>
      <c r="C7" s="12" t="inlineStr">
        <is>
          <t>New circular turning space</t>
        </is>
      </c>
      <c r="D7" s="12" t="inlineStr">
        <is>
          <t>All rooms served by the accessible route shall provide a circular turning space 67 inches (1700 mm) minimum diameter</t>
        </is>
      </c>
      <c r="E7" s="12" t="inlineStr">
        <is>
          <t>Rooms on the Accessible-unit accessible route</t>
        </is>
      </c>
      <c r="F7" s="12" t="inlineStr">
        <is>
          <t>Not required in toilets/baths that are not the 1102.11.2 room; not required in closets or pantries 48 inches (1220 mm) maximum depth; existing circular is 60 inches (1525 mm)</t>
        </is>
      </c>
      <c r="G7" s="11" t="inlineStr">
        <is>
          <t>Direct</t>
        </is>
      </c>
      <c r="H7" s="12" t="inlineStr">
        <is>
          <t>Hold a 1700 mm turning circle in the entry, sleeping room, required bath and living space</t>
        </is>
      </c>
      <c r="I7" s="11" t="inlineStr">
        <is>
          <t>Verified</t>
        </is>
      </c>
    </row>
    <row r="8" ht="104" customHeight="1">
      <c r="A8" s="9" t="inlineStr">
        <is>
          <t>4. Unit accessible route, turning and walking surfaces</t>
        </is>
      </c>
      <c r="B8" s="9" t="inlineStr">
        <is>
          <t>1102.3.2 / 304.3.2.1</t>
        </is>
      </c>
      <c r="C8" s="9" t="inlineStr">
        <is>
          <t>New T-shaped turning option set</t>
        </is>
      </c>
      <c r="D8" s="9" t="inlineStr">
        <is>
          <t>New T-turn is one of: 68 × 60 inches (1725 × 1525 mm) with arms/base 36 inches (915 mm) and 8-inch (205 mm) chamfers; or 64 × 60 inches (1625 × 1525 mm) with arms 38 inches (965 mm) and base 42 inches (1065 mm); or 64 × 60 inches (1625 × 1525 mm) with arms/base 40 inches (1015 mm)</t>
        </is>
      </c>
      <c r="E8" s="9" t="inlineStr">
        <is>
          <t>Rooms on the Accessible-unit accessible route where a T-turn is used instead of a circle</t>
        </is>
      </c>
      <c r="F8" s="9" t="inlineStr">
        <is>
          <t>Existing T-turn is a 60-inch (1525 mm) square with arms/base 36 inches (915 mm)</t>
        </is>
      </c>
      <c r="G8" s="11" t="inlineStr">
        <is>
          <t>Direct</t>
        </is>
      </c>
      <c r="H8" s="9" t="inlineStr">
        <is>
          <t>Pick one new T-option on the guestroom typical; do not mix the existing 1525 mm T on a new-build Direct plan</t>
        </is>
      </c>
      <c r="I8" s="11" t="inlineStr">
        <is>
          <t>Verified</t>
        </is>
      </c>
    </row>
    <row r="9" ht="72" customHeight="1">
      <c r="A9" s="12" t="inlineStr">
        <is>
          <t>4. Unit accessible route, turning and walking surfaces</t>
        </is>
      </c>
      <c r="B9" s="12" t="inlineStr">
        <is>
          <t>304.3.1.1.1</t>
        </is>
      </c>
      <c r="C9" s="12" t="inlineStr">
        <is>
          <t>Turning-space knee/toe overlap</t>
        </is>
      </c>
      <c r="D9" s="12" t="inlineStr">
        <is>
          <t>Circular-turn overlap under an obstruction 10 inches (255 mm) maximum, not exceeding the knee/toe clearance provided, and only in the shaded area of Figure 304.3.1.1</t>
        </is>
      </c>
      <c r="E9" s="12" t="inlineStr">
        <is>
          <t>Turning space under a fixture or counter</t>
        </is>
      </c>
      <c r="F9" s="12" t="inlineStr">
        <is>
          <t>Figure 304.3.1.1 defines the permitted overlap zone</t>
        </is>
      </c>
      <c r="G9" s="11" t="inlineStr">
        <is>
          <t>Direct</t>
        </is>
      </c>
      <c r="H9" s="12" t="inlineStr">
        <is>
          <t>Limit lavatory/vanity overlap into the 1700 mm circle to 255 mm</t>
        </is>
      </c>
      <c r="I9" s="11" t="inlineStr">
        <is>
          <t>Verified</t>
        </is>
      </c>
    </row>
    <row r="10" ht="40" customHeight="1">
      <c r="A10" s="9" t="inlineStr">
        <is>
          <t>4. Unit accessible route, turning and walking surfaces</t>
        </is>
      </c>
      <c r="B10" s="9" t="inlineStr">
        <is>
          <t>304.2</t>
        </is>
      </c>
      <c r="C10" s="9" t="inlineStr">
        <is>
          <t>Turning-space floor</t>
        </is>
      </c>
      <c r="D10" s="9" t="inlineStr">
        <is>
          <t>No change in level in the turning space; slope not steeper than 1:48 permitted</t>
        </is>
      </c>
      <c r="E10" s="9" t="inlineStr">
        <is>
          <t>Turning spaces</t>
        </is>
      </c>
      <c r="F10" s="9" t="inlineStr">
        <is>
          <t>None stated</t>
        </is>
      </c>
      <c r="G10" s="11" t="inlineStr">
        <is>
          <t>Direct</t>
        </is>
      </c>
      <c r="H10" s="9" t="inlineStr">
        <is>
          <t>Keep the turning circle on a 1:48 floor; do not drop a threshold through it</t>
        </is>
      </c>
      <c r="I10" s="11" t="inlineStr">
        <is>
          <t>Verified</t>
        </is>
      </c>
    </row>
    <row r="11" ht="40" customHeight="1">
      <c r="A11" s="12" t="inlineStr">
        <is>
          <t>4. Unit accessible route, turning and walking surfaces</t>
        </is>
      </c>
      <c r="B11" s="12" t="inlineStr">
        <is>
          <t>1102.3.3 / 403.3</t>
        </is>
      </c>
      <c r="C11" s="12" t="inlineStr">
        <is>
          <t>Walking-surface slope</t>
        </is>
      </c>
      <c r="D11" s="12" t="inlineStr">
        <is>
          <t>Accessible-route walking surfaces running slope not steeper than 1:20; cross slope not steeper than 1:48</t>
        </is>
      </c>
      <c r="E11" s="12" t="inlineStr">
        <is>
          <t>Accessible-unit walking surfaces</t>
        </is>
      </c>
      <c r="F11" s="12" t="inlineStr">
        <is>
          <t>Steeper walking surfaces become ramps (405)</t>
        </is>
      </c>
      <c r="G11" s="11" t="inlineStr">
        <is>
          <t>Direct</t>
        </is>
      </c>
      <c r="H11" s="12" t="inlineStr">
        <is>
          <t>Hold guestroom floors and balconies at 1:20 / 1:48; treat anything steeper as a ramp</t>
        </is>
      </c>
      <c r="I11" s="11" t="inlineStr">
        <is>
          <t>Verified</t>
        </is>
      </c>
    </row>
    <row r="12" ht="88" customHeight="1">
      <c r="A12" s="9" t="inlineStr">
        <is>
          <t>4. Unit accessible route, turning and walking surfaces</t>
        </is>
      </c>
      <c r="B12" s="9" t="inlineStr">
        <is>
          <t>1102.4 / 403.5.1</t>
        </is>
      </c>
      <c r="C12" s="9" t="inlineStr">
        <is>
          <t>Interior accessible-route clear width</t>
        </is>
      </c>
      <c r="D12" s="9" t="inlineStr">
        <is>
          <t>Interior accessible route clear width 36 inches (915 mm) minimum; exterior 48 inches (1220 mm) minimum</t>
        </is>
      </c>
      <c r="E12" s="9" t="inlineStr">
        <is>
          <t>Accessible-unit accessible routes</t>
        </is>
      </c>
      <c r="F12" s="9" t="inlineStr">
        <is>
          <t>New pinch: 32 inches (815 mm) for 24 inches (610 mm) max, separated by 52 × 36 inches (1320 × 915 mm); existing pinch uses 48 inches (1220 mm) separators; exterior seating 36 inches (915 mm); exterior ramp → 405.5</t>
        </is>
      </c>
      <c r="G12" s="11" t="inlineStr">
        <is>
          <t>Direct</t>
        </is>
      </c>
      <c r="H12" s="9" t="inlineStr">
        <is>
          <t>Hold interior corridor and unit circulation at 915 mm; document any local pinch</t>
        </is>
      </c>
      <c r="I12" s="11" t="inlineStr">
        <is>
          <t>Verified</t>
        </is>
      </c>
    </row>
    <row r="13" ht="104" customHeight="1">
      <c r="A13" s="12" t="inlineStr">
        <is>
          <t>4. Unit accessible route, turning and walking surfaces</t>
        </is>
      </c>
      <c r="B13" s="12" t="inlineStr">
        <is>
          <t>1102.4 / 403.5.2.1</t>
        </is>
      </c>
      <c r="C13" s="12" t="inlineStr">
        <is>
          <t>New 180-degree turn widths</t>
        </is>
      </c>
      <c r="D13" s="12" t="inlineStr">
        <is>
          <t>Around an object 52 inches (1320 mm) or wider, 90-degree new options apply. Around a narrower object, one of: approach/leave 36 inches (915 mm) with 60 inches (1525 mm) in the turn; or 42 inches (1065 mm) / 48 inches (1220 mm) / 42 inches (1065 mm); or 43 inches (1090 mm) throughout</t>
        </is>
      </c>
      <c r="E13" s="12" t="inlineStr">
        <is>
          <t>180-degree turns on the Accessible-unit route</t>
        </is>
      </c>
      <c r="F13" s="12" t="inlineStr">
        <is>
          <t>Existing 180° around object &lt; 48 inches (1220 mm) is 42 / 48 / 42 inches (1065 / 1220 / 1065 mm), waived if the turn is 60 inches (1525 mm)</t>
        </is>
      </c>
      <c r="G13" s="11" t="inlineStr">
        <is>
          <t>Direct</t>
        </is>
      </c>
      <c r="H13" s="12" t="inlineStr">
        <is>
          <t>Dimension guestroom 180° turns to one new option set; do not use the existing 42/48/42 set on a new Direct plan</t>
        </is>
      </c>
      <c r="I13" s="11" t="inlineStr">
        <is>
          <t>Verified</t>
        </is>
      </c>
    </row>
    <row r="14" ht="88" customHeight="1">
      <c r="A14" s="9" t="inlineStr">
        <is>
          <t>4. Unit accessible route, turning and walking surfaces</t>
        </is>
      </c>
      <c r="B14" s="9" t="inlineStr">
        <is>
          <t>1102.4 / 403.5.3.1</t>
        </is>
      </c>
      <c r="C14" s="9" t="inlineStr">
        <is>
          <t>New 90-degree turn widths</t>
        </is>
      </c>
      <c r="D14" s="9" t="inlineStr">
        <is>
          <t>One of: both legs 40 inches (1015 mm) held 28 inches (710 mm) from the inner corner; or 8-inch (205 mm) chamfers with both legs 36 inches (915 mm); or 42 inches (1065 mm) with the other 38 inches (965 mm); or 44 inches (1120 mm) with the other 36 inches (915 mm)</t>
        </is>
      </c>
      <c r="E14" s="9" t="inlineStr">
        <is>
          <t>90-degree turns on the Accessible-unit route</t>
        </is>
      </c>
      <c r="F14" s="9" t="inlineStr">
        <is>
          <t>Not required at doors complying with 404.2.3 or at elevators/lifts 407–410; existing 90° is 36 inches (915 mm) both legs</t>
        </is>
      </c>
      <c r="G14" s="11" t="inlineStr">
        <is>
          <t>Direct</t>
        </is>
      </c>
      <c r="H14" s="9" t="inlineStr">
        <is>
          <t>Pick one new 90° option at corridor/unit corners; chamfer or widen rather than using the existing 915 mm both-legs rule</t>
        </is>
      </c>
      <c r="I14" s="11" t="inlineStr">
        <is>
          <t>Verified</t>
        </is>
      </c>
    </row>
    <row r="15" ht="88" customHeight="1">
      <c r="A15" s="12" t="inlineStr">
        <is>
          <t>4. Unit accessible route, turning and walking surfaces</t>
        </is>
      </c>
      <c r="B15" s="12" t="inlineStr">
        <is>
          <t>1102.4 / 403.5.4.1</t>
        </is>
      </c>
      <c r="C15" s="12" t="inlineStr">
        <is>
          <t>New passing space</t>
        </is>
      </c>
      <c r="D15" s="12" t="inlineStr">
        <is>
          <t>Where clear width is less than 60 inches (1525 mm), passing spaces at 200 feet (61 m) maximum: 60 × 60 inches (1525 × 1525 mm) or a T-turn per 304.3.2.1 with base/arms extending 52 inches (1320 mm) beyond the intersection</t>
        </is>
      </c>
      <c r="E15" s="12" t="inlineStr">
        <is>
          <t>Long Accessible-unit or suite routes under 1525 mm wide</t>
        </is>
      </c>
      <c r="F15" s="12" t="inlineStr">
        <is>
          <t>Existing T-arm extension is 48 inches (1220 mm)</t>
        </is>
      </c>
      <c r="G15" s="13" t="inlineStr">
        <is>
          <t>Conditional</t>
        </is>
      </c>
      <c r="H15" s="12" t="inlineStr">
        <is>
          <t>Add a 1525 mm passing bay on any Accessible suite corridor longer than 61 m that stays under 1525 mm</t>
        </is>
      </c>
      <c r="I15" s="11" t="inlineStr">
        <is>
          <t>Verified</t>
        </is>
      </c>
    </row>
    <row r="16" ht="56" customHeight="1">
      <c r="A16" s="9" t="inlineStr">
        <is>
          <t>4. Unit accessible route, turning and walking surfaces</t>
        </is>
      </c>
      <c r="B16" s="9" t="inlineStr">
        <is>
          <t>1102.4 / 303.2–303.4</t>
        </is>
      </c>
      <c r="C16" s="9" t="inlineStr">
        <is>
          <t>Walking-surface change in level</t>
        </is>
      </c>
      <c r="D16" s="9" t="inlineStr">
        <is>
          <t>Vertical 1/4 inch (6.4 mm) maximum; 1/4 inch (6.4 mm) to 1/2 inch (13 mm) beveled 1:2; above 1/2 inch (13 mm) by ramp 405 or curb ramp 406</t>
        </is>
      </c>
      <c r="E16" s="9" t="inlineStr">
        <is>
          <t>Changes in level on the Accessible-unit route</t>
        </is>
      </c>
      <c r="F16" s="9" t="inlineStr">
        <is>
          <t>None stated</t>
        </is>
      </c>
      <c r="G16" s="11" t="inlineStr">
        <is>
          <t>Direct</t>
        </is>
      </c>
      <c r="H16" s="9" t="inlineStr">
        <is>
          <t>Limit unit floor/balcony joints to 6.4 mm vertical or 13 mm at 1:2</t>
        </is>
      </c>
      <c r="I16" s="11" t="inlineStr">
        <is>
          <t>Verified</t>
        </is>
      </c>
    </row>
    <row r="17" ht="104" customHeight="1">
      <c r="A17" s="12" t="inlineStr">
        <is>
          <t>5. Doors and doorways</t>
        </is>
      </c>
      <c r="B17" s="12" t="inlineStr">
        <is>
          <t>1102.5 / 404.2.2</t>
        </is>
      </c>
      <c r="C17" s="12" t="inlineStr">
        <is>
          <t>Passage-door clear opening</t>
        </is>
      </c>
      <c r="D17" s="12" t="inlineStr">
        <is>
          <t>Clear opening 32 inches (815 mm) minimum, measured between door face and stop at 90 degrees. Openings more than 24 inches (610 mm) deep without a door: 36 inches (915 mm) minimum. No projections below 34 inches (865 mm) AFF; projections 34–80 inches (865–2030 mm) AFF 4 inches (100 mm) maximum</t>
        </is>
      </c>
      <c r="E17" s="12" t="inlineStr">
        <is>
          <t>Primary entrance and all user-passage doors in the Accessible unit</t>
        </is>
      </c>
      <c r="F17" s="12" t="inlineStr">
        <is>
          <t>Closers/stops 78 inches (1980 mm) min AFF; alterations latch-stop 5/8 inch (16 mm) max. Hospital existing patient-room latch-side manoeuvre waived if the door is 44 inches (1120 mm) min width</t>
        </is>
      </c>
      <c r="G17" s="11" t="inlineStr">
        <is>
          <t>Direct</t>
        </is>
      </c>
      <c r="H17" s="12" t="inlineStr">
        <is>
          <t>Specify 815 mm clear (typically a 915 mm leaf); do not use Type B 31 3/4 inches (805 mm)</t>
        </is>
      </c>
      <c r="I17" s="11" t="inlineStr">
        <is>
          <t>Verified</t>
        </is>
      </c>
    </row>
    <row r="18" ht="140" customHeight="1">
      <c r="A18" s="9" t="inlineStr">
        <is>
          <t>5. Doors and doorways</t>
        </is>
      </c>
      <c r="B18" s="9" t="inlineStr">
        <is>
          <t>1102.5 / Table 404.2.3.2</t>
        </is>
      </c>
      <c r="C18" s="9" t="inlineStr">
        <is>
          <t>Swinging-door manoeuvre table</t>
        </is>
      </c>
      <c r="D18" s="9" t="inlineStr">
        <is>
          <t>Swinging doors shall have manoeuvring clearances per Table 404.2.3.2 (full opening width plus latch- or hinge-side clearance)</t>
        </is>
      </c>
      <c r="E18" s="9" t="inlineStr">
        <is>
          <t>Manual swinging user-passage doors</t>
        </is>
      </c>
      <c r="F18" s="9" t="inlineStr">
        <is>
          <t>Flattened &lt;table&gt; blob: no cell adopted. Readable footnotes: add 6 inches (150 mm) if closer+latch (fn 1) or closer (fn 2); add 12 inches (305 mm) beyond latch if closer+latch (fn 3); hinge-side push is beyond hinge (fn 4); existing front-push perpendicular 48 inches (1220 mm) (fn 5). 1102.5 does not require 404.2.3 on the room side of non-required baths, at closet/pantry ≤ 48 inches (1220 mm) deep, or on balcony exteriors smaller than the manoeuvre; 404.2.5 turning between doors in a series is not required</t>
        </is>
      </c>
      <c r="G18" s="15" t="inlineStr">
        <is>
          <t>External verification</t>
        </is>
      </c>
      <c r="H18" s="9" t="inlineStr">
        <is>
          <t>Hold door manoeuvre off the published table after AHJ source check; apply the readable footnotes now</t>
        </is>
      </c>
      <c r="I18" s="16" t="inlineStr">
        <is>
          <t>Verify source</t>
        </is>
      </c>
    </row>
    <row r="19" ht="88" customHeight="1">
      <c r="A19" s="12" t="inlineStr">
        <is>
          <t>5. Doors and doorways</t>
        </is>
      </c>
      <c r="B19" s="12" t="inlineStr">
        <is>
          <t>1102.5 / Table 404.2.3.3</t>
        </is>
      </c>
      <c r="C19" s="12" t="inlineStr">
        <is>
          <t>Sliding/folding-door manoeuvre table</t>
        </is>
      </c>
      <c r="D19" s="12" t="inlineStr">
        <is>
          <t>Sliding and folding doors shall have manoeuvring clearances per Table 404.2.3.3</t>
        </is>
      </c>
      <c r="E19" s="12" t="inlineStr">
        <is>
          <t>Sliding/folding user-passage doors</t>
        </is>
      </c>
      <c r="F19" s="12" t="inlineStr">
        <is>
          <t>Flattened blob: no cell adopted. Fn 1: nonlatch parallel is beyond pocket or hinge. Recessed-door trigger (404.2.3.5): obstruction within 18 inches (455 mm) of latch projecting more than 8 inches (205 mm) requires forward-approach manoeuvre</t>
        </is>
      </c>
      <c r="G19" s="15" t="inlineStr">
        <is>
          <t>External verification</t>
        </is>
      </c>
      <c r="H19" s="12" t="inlineStr">
        <is>
          <t>Confirm sliding-door manoeuvre from a readable Table 404.2.3.3; apply the 455/205 mm recess trigger</t>
        </is>
      </c>
      <c r="I19" s="16" t="inlineStr">
        <is>
          <t>Verify source</t>
        </is>
      </c>
    </row>
    <row r="20" ht="40" customHeight="1">
      <c r="A20" s="9" t="inlineStr">
        <is>
          <t>5. Doors and doorways</t>
        </is>
      </c>
      <c r="B20" s="9" t="inlineStr">
        <is>
          <t>1102.5 / Table 404.2.3.4</t>
        </is>
      </c>
      <c r="C20" s="9" t="inlineStr">
        <is>
          <t>Doorway-without-door manoeuvre</t>
        </is>
      </c>
      <c r="D20" s="9" t="inlineStr">
        <is>
          <t>Doorways without doors less than 36 inches (915 mm) wide shall have manoeuvre per Table 404.2.3.4</t>
        </is>
      </c>
      <c r="E20" s="9" t="inlineStr">
        <is>
          <t>Cased openings under 915 mm</t>
        </is>
      </c>
      <c r="F20" s="9" t="inlineStr">
        <is>
          <t>Flattened blob: no cell adopted. Fn 1: existing front perpendicular 48 inches (1220 mm)</t>
        </is>
      </c>
      <c r="G20" s="15" t="inlineStr">
        <is>
          <t>External verification</t>
        </is>
      </c>
      <c r="H20" s="9" t="inlineStr">
        <is>
          <t>Prefer 915 mm cased openings or confirm table cells from a readable source</t>
        </is>
      </c>
      <c r="I20" s="16" t="inlineStr">
        <is>
          <t>Verify source</t>
        </is>
      </c>
    </row>
    <row r="21" ht="40" customHeight="1">
      <c r="A21" s="12" t="inlineStr">
        <is>
          <t>5. Doors and doorways</t>
        </is>
      </c>
      <c r="B21" s="12" t="inlineStr">
        <is>
          <t>1102.5 / 404.2.3.1</t>
        </is>
      </c>
      <c r="C21" s="12" t="inlineStr">
        <is>
          <t>Manoeuvre floor slope</t>
        </is>
      </c>
      <c r="D21" s="12" t="inlineStr">
        <is>
          <t>Floor within manoeuvring clearances slope not steeper than 1:48</t>
        </is>
      </c>
      <c r="E21" s="12" t="inlineStr">
        <is>
          <t>Door manoeuvre zones</t>
        </is>
      </c>
      <c r="F21" s="12" t="inlineStr">
        <is>
          <t>None stated</t>
        </is>
      </c>
      <c r="G21" s="11" t="inlineStr">
        <is>
          <t>Direct</t>
        </is>
      </c>
      <c r="H21" s="12" t="inlineStr">
        <is>
          <t>Keep latch-side pads at 1:48</t>
        </is>
      </c>
      <c r="I21" s="11" t="inlineStr">
        <is>
          <t>Verified</t>
        </is>
      </c>
    </row>
    <row r="22" ht="56" customHeight="1">
      <c r="A22" s="9" t="inlineStr">
        <is>
          <t>5. Doors and doorways</t>
        </is>
      </c>
      <c r="B22" s="9" t="inlineStr">
        <is>
          <t>1102.5 / 404.2.4</t>
        </is>
      </c>
      <c r="C22" s="9" t="inlineStr">
        <is>
          <t>Door threshold height</t>
        </is>
      </c>
      <c r="D22" s="9" t="inlineStr">
        <is>
          <t>Thresholds 1/2 inch (13 mm) maximum; raised thresholds comply with 302 and 303</t>
        </is>
      </c>
      <c r="E22" s="9" t="inlineStr">
        <is>
          <t>Accessible-unit doorways</t>
        </is>
      </c>
      <c r="F22" s="9" t="inlineStr">
        <is>
          <t>Existing/altered threshold 3/4 inch (19 mm) max with 1:2 bevel on each side for height exceeding 1/4 inch (6.4 mm)</t>
        </is>
      </c>
      <c r="G22" s="11" t="inlineStr">
        <is>
          <t>Direct</t>
        </is>
      </c>
      <c r="H22" s="9" t="inlineStr">
        <is>
          <t>Specify 13 mm max thresholds at entry, bath and balcony doors</t>
        </is>
      </c>
      <c r="I22" s="11" t="inlineStr">
        <is>
          <t>Verified</t>
        </is>
      </c>
    </row>
    <row r="23" ht="72" customHeight="1">
      <c r="A23" s="12" t="inlineStr">
        <is>
          <t>5. Doors and doorways</t>
        </is>
      </c>
      <c r="B23" s="12" t="inlineStr">
        <is>
          <t>1102.5 / 404.2.5</t>
        </is>
      </c>
      <c r="C23" s="12" t="inlineStr">
        <is>
          <t>Doors in series</t>
        </is>
      </c>
      <c r="D23" s="12" t="inlineStr">
        <is>
          <t>Distance between hinged or pivoted doors in series 48 inches (1220 mm) minimum plus the width of any door swinging into the space, and a turning space between</t>
        </is>
      </c>
      <c r="E23" s="12" t="inlineStr">
        <is>
          <t>Vestibules or bath/entry pairs</t>
        </is>
      </c>
      <c r="F23" s="12" t="inlineStr">
        <is>
          <t>1102.5 Exceptions 3–5: turning space between doors in a series is not required in Accessible units; storm/screen doors and communicating doors between sleeping units are exempt from 404.2.5</t>
        </is>
      </c>
      <c r="G23" s="13" t="inlineStr">
        <is>
          <t>Conditional</t>
        </is>
      </c>
      <c r="H23" s="12" t="inlineStr">
        <is>
          <t>Size any in-unit vestibule to 1220 mm plus leaf swing; the 1102.5 series-turn exemption applies</t>
        </is>
      </c>
      <c r="I23" s="11" t="inlineStr">
        <is>
          <t>Verified</t>
        </is>
      </c>
    </row>
    <row r="24" ht="88" customHeight="1">
      <c r="A24" s="9" t="inlineStr">
        <is>
          <t>5. Doors and doorways</t>
        </is>
      </c>
      <c r="B24" s="9" t="inlineStr">
        <is>
          <t>1102.5 / 404.2.6</t>
        </is>
      </c>
      <c r="C24" s="9" t="inlineStr">
        <is>
          <t>Door hardware force and height</t>
        </is>
      </c>
      <c r="D24" s="9" t="inlineStr">
        <is>
          <t>Forward/push/pull hardware 15 pounds (66.7 N) maximum; rotational 28 inch-pounds (315 N·cm) maximum. Operable parts 34 inches (865 mm) minimum and 48 inches (1220 mm) maximum AFF; sliding-door hardware usable from both sides when open</t>
        </is>
      </c>
      <c r="E24" s="9" t="inlineStr">
        <is>
          <t>Accessible-unit door hardware</t>
        </is>
      </c>
      <c r="F24" s="9" t="inlineStr">
        <is>
          <t>Security-personnel-only doors exempt from listed 404.2/404.3 manoeuvre and hardware clauses</t>
        </is>
      </c>
      <c r="G24" s="11" t="inlineStr">
        <is>
          <t>Direct</t>
        </is>
      </c>
      <c r="H24" s="9" t="inlineStr">
        <is>
          <t>Schedule lever hardware 865–1220 mm AFF; keep operating force within 66.7 N / 315 N·cm</t>
        </is>
      </c>
      <c r="I24" s="11" t="inlineStr">
        <is>
          <t>Verified</t>
        </is>
      </c>
    </row>
    <row r="25" ht="72" customHeight="1">
      <c r="A25" s="12" t="inlineStr">
        <is>
          <t>5. Doors and doorways</t>
        </is>
      </c>
      <c r="B25" s="12" t="inlineStr">
        <is>
          <t>1102.5 / 404.2.7–404.2.8</t>
        </is>
      </c>
      <c r="C25" s="12" t="inlineStr">
        <is>
          <t>Closer speed and opening force</t>
        </is>
      </c>
      <c r="D25" s="12" t="inlineStr">
        <is>
          <t>Closer: 90° to 12° in 5 seconds minimum. Spring hinge: 70° to closed in 1.5 seconds minimum. Interior hinged and sliding/folding opening force 5.0 pounds (22.2 N) maximum (not fire/panic doors)</t>
        </is>
      </c>
      <c r="E25" s="12" t="inlineStr">
        <is>
          <t>Doors with closers or interior swing/slide</t>
        </is>
      </c>
      <c r="F25" s="12" t="inlineStr">
        <is>
          <t>Latch-retract force does not apply to panic, delayed-egress or fire-rated hardware</t>
        </is>
      </c>
      <c r="G25" s="11" t="inlineStr">
        <is>
          <t>Direct</t>
        </is>
      </c>
      <c r="H25" s="12" t="inlineStr">
        <is>
          <t>Set guestroom closers to 5 s; hold interior opening force at 22.2 N</t>
        </is>
      </c>
      <c r="I25" s="11" t="inlineStr">
        <is>
          <t>Verified</t>
        </is>
      </c>
    </row>
    <row r="26" ht="72" customHeight="1">
      <c r="A26" s="9" t="inlineStr">
        <is>
          <t>5. Doors and doorways</t>
        </is>
      </c>
      <c r="B26" s="9" t="inlineStr">
        <is>
          <t>1102.5 / 404.2.9</t>
        </is>
      </c>
      <c r="C26" s="9" t="inlineStr">
        <is>
          <t>Push-side smooth surface</t>
        </is>
      </c>
      <c r="D26" s="9" t="inlineStr">
        <is>
          <t>Smooth push-side surface within 10 inches (255 mm) of the floor, full width; joints within 1/16 inch (1.6 mm) of the same plane</t>
        </is>
      </c>
      <c r="E26" s="9" t="inlineStr">
        <is>
          <t>Swinging Accessible-unit doors</t>
        </is>
      </c>
      <c r="F26" s="9" t="inlineStr">
        <is>
          <t>Sliding doors; tapered tempered-glass bottom rail ≥ 60° from horizontal; doors not extending to within 255 mm of the floor; existing kick plates to 255 mm AFF and 1 inch (25 mm) from edges</t>
        </is>
      </c>
      <c r="G26" s="11" t="inlineStr">
        <is>
          <t>Direct</t>
        </is>
      </c>
      <c r="H26" s="9" t="inlineStr">
        <is>
          <t>Specify a 255 mm kick plate / smooth bottom rail on swinging guestroom doors</t>
        </is>
      </c>
      <c r="I26" s="11" t="inlineStr">
        <is>
          <t>Verified</t>
        </is>
      </c>
    </row>
    <row r="27" ht="40" customHeight="1">
      <c r="A27" s="12" t="inlineStr">
        <is>
          <t>5. Doors and doorways</t>
        </is>
      </c>
      <c r="B27" s="12" t="inlineStr">
        <is>
          <t>1102.5 / 404.2.10</t>
        </is>
      </c>
      <c r="C27" s="12" t="inlineStr">
        <is>
          <t>Vision lite height</t>
        </is>
      </c>
      <c r="D27" s="12" t="inlineStr">
        <is>
          <t>Bottom of at least one viewing panel 43 inches (1090 mm) maximum AFF</t>
        </is>
      </c>
      <c r="E27" s="12" t="inlineStr">
        <is>
          <t>Doors, gates or sidelites with viewing panels</t>
        </is>
      </c>
      <c r="F27" s="12" t="inlineStr">
        <is>
          <t>Vision lites with lowest part more than 66 inches (1675 mm) AFF</t>
        </is>
      </c>
      <c r="G27" s="13" t="inlineStr">
        <is>
          <t>Conditional</t>
        </is>
      </c>
      <c r="H27" s="12" t="inlineStr">
        <is>
          <t>If a guestroom entry has a vision panel, hold the bottom at 1090 mm max</t>
        </is>
      </c>
      <c r="I27" s="11" t="inlineStr">
        <is>
          <t>Verified</t>
        </is>
      </c>
    </row>
    <row r="28" ht="56" customHeight="1">
      <c r="A28" s="9" t="inlineStr">
        <is>
          <t>5. Doors and doorways</t>
        </is>
      </c>
      <c r="B28" s="9" t="inlineStr">
        <is>
          <t>1102.5 / 404.3.3</t>
        </is>
      </c>
      <c r="C28" s="9" t="inlineStr">
        <is>
          <t>Automatic-door clear width</t>
        </is>
      </c>
      <c r="D28" s="9" t="inlineStr">
        <is>
          <t>Automatic doorways 32 inches (815 mm) clear in power-on and power-off; break-out opening 32 inches (815 mm) minimum</t>
        </is>
      </c>
      <c r="E28" s="9" t="inlineStr">
        <is>
          <t>Power-operated Accessible-unit doors</t>
        </is>
      </c>
      <c r="F28" s="9" t="inlineStr">
        <is>
          <t>Full-power and low-energy devices also name BHMA A156.10 / A156.19 (values not imported)</t>
        </is>
      </c>
      <c r="G28" s="13" t="inlineStr">
        <is>
          <t>Conditional</t>
        </is>
      </c>
      <c r="H28" s="9" t="inlineStr">
        <is>
          <t>If a power door is used at the unit, keep 815 mm clear in both power states</t>
        </is>
      </c>
      <c r="I28" s="11" t="inlineStr">
        <is>
          <t>Verified</t>
        </is>
      </c>
    </row>
    <row r="29" ht="40" customHeight="1">
      <c r="A29" s="12" t="inlineStr">
        <is>
          <t>6. Operable parts, reach and clear floor space</t>
        </is>
      </c>
      <c r="B29" s="12" t="inlineStr">
        <is>
          <t>1102.9 / 305.3.1</t>
        </is>
      </c>
      <c r="C29" s="12" t="inlineStr">
        <is>
          <t>New clear floor space</t>
        </is>
      </c>
      <c r="D29" s="12" t="inlineStr">
        <is>
          <t>New-building clear floor space 52 inches (1320 mm) minimum length × 30 inches (760 mm) minimum width</t>
        </is>
      </c>
      <c r="E29" s="12" t="inlineStr">
        <is>
          <t>Operable parts, fixtures and elements that require a CFS</t>
        </is>
      </c>
      <c r="F29" s="12" t="inlineStr">
        <is>
          <t>Existing CFS is 48 × 30 inches (1220 × 760 mm); Type B 1104.1.1 is not used here</t>
        </is>
      </c>
      <c r="G29" s="11" t="inlineStr">
        <is>
          <t>Direct</t>
        </is>
      </c>
      <c r="H29" s="12" t="inlineStr">
        <is>
          <t>Park a 1320 × 760 mm CFS at controls, fixtures and the bed</t>
        </is>
      </c>
      <c r="I29" s="11" t="inlineStr">
        <is>
          <t>Verified</t>
        </is>
      </c>
    </row>
    <row r="30" ht="40" customHeight="1">
      <c r="A30" s="9" t="inlineStr">
        <is>
          <t>6. Operable parts, reach and clear floor space</t>
        </is>
      </c>
      <c r="B30" s="9" t="inlineStr">
        <is>
          <t>305.2</t>
        </is>
      </c>
      <c r="C30" s="9" t="inlineStr">
        <is>
          <t>CFS floor</t>
        </is>
      </c>
      <c r="D30" s="9" t="inlineStr">
        <is>
          <t>No change in level in the CFS; slope not steeper than 1:48 permitted</t>
        </is>
      </c>
      <c r="E30" s="9" t="inlineStr">
        <is>
          <t>Clear floor spaces</t>
        </is>
      </c>
      <c r="F30" s="9" t="inlineStr">
        <is>
          <t>None stated</t>
        </is>
      </c>
      <c r="G30" s="11" t="inlineStr">
        <is>
          <t>Direct</t>
        </is>
      </c>
      <c r="H30" s="9" t="inlineStr">
        <is>
          <t>Keep CFS pads at 1:48</t>
        </is>
      </c>
      <c r="I30" s="11" t="inlineStr">
        <is>
          <t>Verified</t>
        </is>
      </c>
    </row>
    <row r="31" ht="72" customHeight="1">
      <c r="A31" s="12" t="inlineStr">
        <is>
          <t>6. Operable parts, reach and clear floor space</t>
        </is>
      </c>
      <c r="B31" s="12" t="inlineStr">
        <is>
          <t>305.7.1–305.7.2</t>
        </is>
      </c>
      <c r="C31" s="12" t="inlineStr">
        <is>
          <t>Alcove CFS</t>
        </is>
      </c>
      <c r="D31" s="12" t="inlineStr">
        <is>
          <t>Parallel alcove 60 inches (1525 mm) minimum wide where depth exceeds 15 inches (380 mm). Forward alcove 36 inches (915 mm) minimum wide where depth exceeds 24 inches (610 mm)</t>
        </is>
      </c>
      <c r="E31" s="12" t="inlineStr">
        <is>
          <t>CFS confined on three sides</t>
        </is>
      </c>
      <c r="F31" s="12" t="inlineStr">
        <is>
          <t>None stated</t>
        </is>
      </c>
      <c r="G31" s="11" t="inlineStr">
        <is>
          <t>Direct</t>
        </is>
      </c>
      <c r="H31" s="12" t="inlineStr">
        <is>
          <t>Widen wardrobe/vanity alcoves to 1525 mm parallel or 915 mm forward</t>
        </is>
      </c>
      <c r="I31" s="11" t="inlineStr">
        <is>
          <t>Verified</t>
        </is>
      </c>
    </row>
    <row r="32" ht="120" customHeight="1">
      <c r="A32" s="9" t="inlineStr">
        <is>
          <t>6. Operable parts, reach and clear floor space</t>
        </is>
      </c>
      <c r="B32" s="9" t="inlineStr">
        <is>
          <t>1102.9 / 306.2–306.3</t>
        </is>
      </c>
      <c r="C32" s="9" t="inlineStr">
        <is>
          <t>Knee and toe clearance</t>
        </is>
      </c>
      <c r="D32" s="9" t="inlineStr">
        <is>
          <t>Toe: floor to 9 inches (230 mm) AFF, 25 inches (635 mm) max depth, 17 inches (430 mm) min where required, 30 inches (760 mm) min width. Knee: 9–27 inches (230–685 mm) AFF, 25 inches (635 mm) max at 9 in, 11 inches (280 mm) min at 9 in and 8 inches (205 mm) min at 27 in, reducing 1 inch (25 mm) per 6 inches (150 mm) height; 30 inches (760 mm) min width</t>
        </is>
      </c>
      <c r="E32" s="9" t="inlineStr">
        <is>
          <t>Forward approach at lavatories, work surfaces and similar</t>
        </is>
      </c>
      <c r="F32" s="9" t="inlineStr">
        <is>
          <t>Space beyond 6 inches (150 mm) past available knee clearance at 9 in is not toe clearance</t>
        </is>
      </c>
      <c r="G32" s="11" t="inlineStr">
        <is>
          <t>Direct</t>
        </is>
      </c>
      <c r="H32" s="9" t="inlineStr">
        <is>
          <t>Build removable or open vanities to the 230/685 mm knee-toe envelope</t>
        </is>
      </c>
      <c r="I32" s="11" t="inlineStr">
        <is>
          <t>Verified</t>
        </is>
      </c>
    </row>
    <row r="33" ht="40" customHeight="1">
      <c r="A33" s="12" t="inlineStr">
        <is>
          <t>6. Operable parts, reach and clear floor space</t>
        </is>
      </c>
      <c r="B33" s="12" t="inlineStr">
        <is>
          <t>1102.9 / 308.2.1</t>
        </is>
      </c>
      <c r="C33" s="12" t="inlineStr">
        <is>
          <t>Unobstructed forward reach</t>
        </is>
      </c>
      <c r="D33" s="12" t="inlineStr">
        <is>
          <t>High forward reach 48 inches (1220 mm) maximum; low 15 inches (380 mm) minimum AFF</t>
        </is>
      </c>
      <c r="E33" s="12" t="inlineStr">
        <is>
          <t>Forward reach to operable parts</t>
        </is>
      </c>
      <c r="F33" s="12" t="inlineStr">
        <is>
          <t>None stated</t>
        </is>
      </c>
      <c r="G33" s="11" t="inlineStr">
        <is>
          <t>Direct</t>
        </is>
      </c>
      <c r="H33" s="12" t="inlineStr">
        <is>
          <t>Place switches, thermostats and outlets in the 380–1220 mm envelope</t>
        </is>
      </c>
      <c r="I33" s="11" t="inlineStr">
        <is>
          <t>Verified</t>
        </is>
      </c>
    </row>
    <row r="34" ht="72" customHeight="1">
      <c r="A34" s="9" t="inlineStr">
        <is>
          <t>6. Operable parts, reach and clear floor space</t>
        </is>
      </c>
      <c r="B34" s="9" t="inlineStr">
        <is>
          <t>1102.9 / 308.2.2</t>
        </is>
      </c>
      <c r="C34" s="9" t="inlineStr">
        <is>
          <t>Obstructed high forward reach</t>
        </is>
      </c>
      <c r="D34" s="9" t="inlineStr">
        <is>
          <t>High forward 48 inches (1220 mm) max where reach depth is 20 inches (510 mm) max; 44 inches (1120 mm) max where depth is greater than 20 inches (510 mm) and not more than 25 inches (635 mm)</t>
        </is>
      </c>
      <c r="E34" s="9" t="inlineStr">
        <is>
          <t>Forward reach over a counter or obstruction</t>
        </is>
      </c>
      <c r="F34" s="9" t="inlineStr">
        <is>
          <t>CFS and 306 must extend under the element at least the reach depth</t>
        </is>
      </c>
      <c r="G34" s="11" t="inlineStr">
        <is>
          <t>Direct</t>
        </is>
      </c>
      <c r="H34" s="9" t="inlineStr">
        <is>
          <t>If a control sits over a 510–635 mm counter, drop the high reach to 1120 mm</t>
        </is>
      </c>
      <c r="I34" s="11" t="inlineStr">
        <is>
          <t>Verified</t>
        </is>
      </c>
    </row>
    <row r="35" ht="56" customHeight="1">
      <c r="A35" s="12" t="inlineStr">
        <is>
          <t>6. Operable parts, reach and clear floor space</t>
        </is>
      </c>
      <c r="B35" s="12" t="inlineStr">
        <is>
          <t>1102.9 / 308.3.1</t>
        </is>
      </c>
      <c r="C35" s="12" t="inlineStr">
        <is>
          <t>Unobstructed side reach</t>
        </is>
      </c>
      <c r="D35" s="12" t="inlineStr">
        <is>
          <t>High side 48 inches (1220 mm) max; low 15 inches (380 mm) min, where the CFS edge is 10 inches (255 mm) max from the element</t>
        </is>
      </c>
      <c r="E35" s="12" t="inlineStr">
        <is>
          <t>Parallel approach to operable parts</t>
        </is>
      </c>
      <c r="F35" s="12" t="inlineStr">
        <is>
          <t>Existing unaltered elements 54 inches (1370 mm) max (Conditional)</t>
        </is>
      </c>
      <c r="G35" s="11" t="inlineStr">
        <is>
          <t>Direct</t>
        </is>
      </c>
      <c r="H35" s="12" t="inlineStr">
        <is>
          <t>Keep parallel-approach outlets at 380–1220 mm</t>
        </is>
      </c>
      <c r="I35" s="11" t="inlineStr">
        <is>
          <t>Verified</t>
        </is>
      </c>
    </row>
    <row r="36" ht="72" customHeight="1">
      <c r="A36" s="9" t="inlineStr">
        <is>
          <t>6. Operable parts, reach and clear floor space</t>
        </is>
      </c>
      <c r="B36" s="9" t="inlineStr">
        <is>
          <t>1102.9 / 308.3.2</t>
        </is>
      </c>
      <c r="C36" s="9" t="inlineStr">
        <is>
          <t>Obstructed high side reach</t>
        </is>
      </c>
      <c r="D36" s="9" t="inlineStr">
        <is>
          <t>Obstruction 34 inches (865 mm) max high and 24 inches (610 mm) max deep. High side 48 inches (1220 mm) for reach depth 10 inches (255 mm) max; 46 inches (1170 mm) for reach depth 24 inches (610 mm) max</t>
        </is>
      </c>
      <c r="E36" s="9" t="inlineStr">
        <is>
          <t>Side reach over a cabinet</t>
        </is>
      </c>
      <c r="F36" s="9" t="inlineStr">
        <is>
          <t>None stated</t>
        </is>
      </c>
      <c r="G36" s="11" t="inlineStr">
        <is>
          <t>Direct</t>
        </is>
      </c>
      <c r="H36" s="9" t="inlineStr">
        <is>
          <t>Do not put Accessible-unit outlets over counters deeper than 610 mm or higher than 865 mm</t>
        </is>
      </c>
      <c r="I36" s="11" t="inlineStr">
        <is>
          <t>Verified</t>
        </is>
      </c>
    </row>
    <row r="37" ht="104" customHeight="1">
      <c r="A37" s="12" t="inlineStr">
        <is>
          <t>6. Operable parts, reach and clear floor space</t>
        </is>
      </c>
      <c r="B37" s="12" t="inlineStr">
        <is>
          <t>1102.9 / 309.4</t>
        </is>
      </c>
      <c r="C37" s="12" t="inlineStr">
        <is>
          <t>Operable-part force</t>
        </is>
      </c>
      <c r="D37" s="12" t="inlineStr">
        <is>
          <t>One hand; no tight grasping, pinching or twisting of the wrist; 5.0 pounds (22.2 N) maximum</t>
        </is>
      </c>
      <c r="E37" s="12" t="inlineStr">
        <is>
          <t>Lighting, panelboards, switches, receptacles, environmental, appliance, plumbing and security/intercom controls</t>
        </is>
      </c>
      <c r="F37" s="12" t="inlineStr">
        <is>
          <t>Dedicated receptacles; one of two-plus kitchen counter receptacles; corner counter ≤ 9 square feet (0.835 m²); floor receptacles; HVAC diffusers; ceiling-fan controls; redundant non-light controls; appliance/plumbing reset; panelboards exempt from 309.4; emergency-personnel devices</t>
        </is>
      </c>
      <c r="G37" s="11" t="inlineStr">
        <is>
          <t>Direct</t>
        </is>
      </c>
      <c r="H37" s="12" t="inlineStr">
        <is>
          <t>Specify rocker/paddle devices at 22.2 N; apply the listed receptacle exceptions on the electrical drawings</t>
        </is>
      </c>
      <c r="I37" s="11" t="inlineStr">
        <is>
          <t>Verified</t>
        </is>
      </c>
    </row>
    <row r="38" ht="88" customHeight="1">
      <c r="A38" s="9" t="inlineStr">
        <is>
          <t>7. Toilet and bathing facilities (grab bars in place)</t>
        </is>
      </c>
      <c r="B38" s="9" t="inlineStr">
        <is>
          <t>1102.11.2</t>
        </is>
      </c>
      <c r="C38" s="9" t="inlineStr">
        <is>
          <t>Required Accessible bath set</t>
        </is>
      </c>
      <c r="D38" s="9" t="inlineStr">
        <is>
          <t>At least one toilet/bathing facility complies with 603. At least one lavatory, one water closet and either a bathtub or shower comply with 604 through 610, in a single area so travel between fixtures does not go through other parts of the unit</t>
        </is>
      </c>
      <c r="E38" s="9" t="inlineStr">
        <is>
          <t>Accessible units</t>
        </is>
      </c>
      <c r="F38" s="9" t="inlineStr">
        <is>
          <t>Other baths in the unit follow 1102.11.1 blocking</t>
        </is>
      </c>
      <c r="G38" s="11" t="inlineStr">
        <is>
          <t>Direct</t>
        </is>
      </c>
      <c r="H38" s="9" t="inlineStr">
        <is>
          <t>Put WC, lav and tub or shower in one Accessible bathroom; do not split the set across a bedroom</t>
        </is>
      </c>
      <c r="I38" s="11" t="inlineStr">
        <is>
          <t>Verified</t>
        </is>
      </c>
    </row>
    <row r="39" ht="56" customHeight="1">
      <c r="A39" s="12" t="inlineStr">
        <is>
          <t>7. Toilet and bathing facilities (grab bars in place)</t>
        </is>
      </c>
      <c r="B39" s="12" t="inlineStr">
        <is>
          <t>1102.11.2 / 603.2.1–603.2.2</t>
        </is>
      </c>
      <c r="C39" s="12" t="inlineStr">
        <is>
          <t>Bath turning space and door swing</t>
        </is>
      </c>
      <c r="D39" s="12" t="inlineStr">
        <is>
          <t>Turning space inside the room, not inside a toilet compartment. Door shall not swing into any fixture CFS or clearance</t>
        </is>
      </c>
      <c r="E39" s="12" t="inlineStr">
        <is>
          <t>The 1102.11.2 bathroom</t>
        </is>
      </c>
      <c r="F39" s="12" t="inlineStr">
        <is>
          <t>Individual-use room with a 305.3 CFS beyond the door arc; private-office single-occupant reverse-swing (not typical in a guestroom)</t>
        </is>
      </c>
      <c r="G39" s="11" t="inlineStr">
        <is>
          <t>Direct</t>
        </is>
      </c>
      <c r="H39" s="12" t="inlineStr">
        <is>
          <t>Keep the 1700 mm turn in the Accessible bath and swing the door out or past a 1320 × 760 mm CFS</t>
        </is>
      </c>
      <c r="I39" s="11" t="inlineStr">
        <is>
          <t>Verified</t>
        </is>
      </c>
    </row>
    <row r="40" ht="56" customHeight="1">
      <c r="A40" s="9" t="inlineStr">
        <is>
          <t>7. Toilet and bathing facilities (grab bars in place)</t>
        </is>
      </c>
      <c r="B40" s="9" t="inlineStr">
        <is>
          <t>1102.11.2.2 / 603.3</t>
        </is>
      </c>
      <c r="C40" s="9" t="inlineStr">
        <is>
          <t>Lavatory mirror height</t>
        </is>
      </c>
      <c r="D40" s="9" t="inlineStr">
        <is>
          <t>Bottom of reflecting surface 40 inches (1015 mm) maximum AFF over the 606 lavatory (and over non-lavatory counters)</t>
        </is>
      </c>
      <c r="E40" s="9" t="inlineStr">
        <is>
          <t>Mirrors above Accessible-unit lavatories</t>
        </is>
      </c>
      <c r="F40" s="9" t="inlineStr">
        <is>
          <t>The 603.3 35-inch (890 mm) alternate mirror does not apply inside Accessible dwelling/sleeping units</t>
        </is>
      </c>
      <c r="G40" s="11" t="inlineStr">
        <is>
          <t>Direct</t>
        </is>
      </c>
      <c r="H40" s="9" t="inlineStr">
        <is>
          <t>Hold the Accessible-bath mirror at 1015 mm max; do not use the 890 mm elsewhere-in-room exception</t>
        </is>
      </c>
      <c r="I40" s="11" t="inlineStr">
        <is>
          <t>Verified</t>
        </is>
      </c>
    </row>
    <row r="41" ht="40" customHeight="1">
      <c r="A41" s="12" t="inlineStr">
        <is>
          <t>7. Toilet and bathing facilities (grab bars in place)</t>
        </is>
      </c>
      <c r="B41" s="12" t="inlineStr">
        <is>
          <t>603.4</t>
        </is>
      </c>
      <c r="C41" s="12" t="inlineStr">
        <is>
          <t>Coat hook and shelf</t>
        </is>
      </c>
      <c r="D41" s="12" t="inlineStr">
        <is>
          <t>Coat hooks in a 308 reach range. Shelves 40 inches (1015 mm) minimum and 48 inches (1220 mm) maximum AFF</t>
        </is>
      </c>
      <c r="E41" s="12" t="inlineStr">
        <is>
          <t>Hooks/shelves in the Accessible bath</t>
        </is>
      </c>
      <c r="F41" s="12" t="inlineStr">
        <is>
          <t>None stated</t>
        </is>
      </c>
      <c r="G41" s="13" t="inlineStr">
        <is>
          <t>Conditional</t>
        </is>
      </c>
      <c r="H41" s="12" t="inlineStr">
        <is>
          <t>If a robe hook or shelf is provided, place the shelf at 1015–1220 mm</t>
        </is>
      </c>
      <c r="I41" s="11" t="inlineStr">
        <is>
          <t>Verified</t>
        </is>
      </c>
    </row>
    <row r="42" ht="40" customHeight="1">
      <c r="A42" s="9" t="inlineStr">
        <is>
          <t>7. Toilet and bathing facilities (grab bars in place)</t>
        </is>
      </c>
      <c r="B42" s="9" t="inlineStr">
        <is>
          <t>Table 603.6</t>
        </is>
      </c>
      <c r="C42" s="9" t="inlineStr">
        <is>
          <t>Towel dispenser / dryer reach</t>
        </is>
      </c>
      <c r="D42" s="9" t="inlineStr">
        <is>
          <t>Operable parts on towel dispensers and hand dryers serving 606 lavatories shall comply with Table 603.6</t>
        </is>
      </c>
      <c r="E42" s="9" t="inlineStr">
        <is>
          <t>Dispensers/dryers at the Accessible lavatory</t>
        </is>
      </c>
      <c r="F42" s="9" t="inlineStr">
        <is>
          <t>Flattened blob: no cell adopted</t>
        </is>
      </c>
      <c r="G42" s="15" t="inlineStr">
        <is>
          <t>External verification</t>
        </is>
      </c>
      <c r="H42" s="9" t="inlineStr">
        <is>
          <t>Confirm dispenser reach from a readable Table 603.6 before specifying</t>
        </is>
      </c>
      <c r="I42" s="16" t="inlineStr">
        <is>
          <t>Verify source</t>
        </is>
      </c>
    </row>
    <row r="43" ht="88" customHeight="1">
      <c r="A43" s="12" t="inlineStr">
        <is>
          <t>7. Toilet and bathing facilities (grab bars in place)</t>
        </is>
      </c>
      <c r="B43" s="12" t="inlineStr">
        <is>
          <t>1102.11.2 / 604.2–604.4</t>
        </is>
      </c>
      <c r="C43" s="12" t="inlineStr">
        <is>
          <t>Water-closet location, clearance, seat</t>
        </is>
      </c>
      <c r="D43" s="12" t="inlineStr">
        <is>
          <t>Centerline 16 inches (405 mm) min to 18 inches (455 mm) max from the side wall. Clearance 60 inches (1525 mm) min wide and 56 inches (1420 mm) min deep. Seat 17 inches (430 mm) min to 19 inches (485 mm) max AFF, not sprung</t>
        </is>
      </c>
      <c r="E43" s="12" t="inlineStr">
        <is>
          <t>Accessible-unit water closet</t>
        </is>
      </c>
      <c r="F43" s="12" t="inlineStr">
        <is>
          <t>Adjustable-height WC with one setting in range; private-office height exemption (not typical)</t>
        </is>
      </c>
      <c r="G43" s="11" t="inlineStr">
        <is>
          <t>Direct</t>
        </is>
      </c>
      <c r="H43" s="12" t="inlineStr">
        <is>
          <t>Set WC at 405–455 mm from the side wall in a 1525 × 1420 mm clear zone; seat 430–485 mm</t>
        </is>
      </c>
      <c r="I43" s="11" t="inlineStr">
        <is>
          <t>Verified</t>
        </is>
      </c>
    </row>
    <row r="44" ht="136" customHeight="1">
      <c r="A44" s="9" t="inlineStr">
        <is>
          <t>7. Toilet and bathing facilities (grab bars in place)</t>
        </is>
      </c>
      <c r="B44" s="9" t="inlineStr">
        <is>
          <t>1102.11.2 / 604.5.1–604.5.2</t>
        </is>
      </c>
      <c r="C44" s="9" t="inlineStr">
        <is>
          <t>Water-closet grab bars in place</t>
        </is>
      </c>
      <c r="D44" s="9" t="inlineStr">
        <is>
          <t>Side wall: horizontal bar 42 inches (1065 mm) min, 12 inches (305 mm) max from rear wall, extending 54 inches (1370 mm) min from rear wall; vertical bar 18 inches (455 mm) min, bottom 39–41 inches (990–1040 mm) AFF, centerline 39–41 inches (990–1040 mm) from rear wall. Rear wall: 36 inches (915 mm) min, 6 inches (150 mm) max from side wall, extending 42 inches (1065 mm) min from side wall</t>
        </is>
      </c>
      <c r="E44" s="9" t="inlineStr">
        <is>
          <t>Accessible-unit water closet</t>
        </is>
      </c>
      <c r="F44" s="9" t="inlineStr">
        <is>
          <t>Rear bar 24 inches (610 mm) min centered where a recessed fixture prevents 915 mm; split/shifted rear bar if the AHJ requires a conflicting flush valve</t>
        </is>
      </c>
      <c r="G44" s="11" t="inlineStr">
        <is>
          <t>Direct</t>
        </is>
      </c>
      <c r="H44" s="9" t="inlineStr">
        <is>
          <t>Install both side (horizontal+vertical) and rear grab bars; this is not Type A/B blocking</t>
        </is>
      </c>
      <c r="I44" s="11" t="inlineStr">
        <is>
          <t>Verified</t>
        </is>
      </c>
    </row>
    <row r="45" ht="40" customHeight="1">
      <c r="A45" s="12" t="inlineStr">
        <is>
          <t>7. Toilet and bathing facilities (grab bars in place)</t>
        </is>
      </c>
      <c r="B45" s="12" t="inlineStr">
        <is>
          <t>604.6</t>
        </is>
      </c>
      <c r="C45" s="12" t="inlineStr">
        <is>
          <t>Flush control</t>
        </is>
      </c>
      <c r="D45" s="12" t="inlineStr">
        <is>
          <t>Hand-operated or automatic; hand-operated complies with 309; located on the open side of the water closet</t>
        </is>
      </c>
      <c r="E45" s="12" t="inlineStr">
        <is>
          <t>Accessible-unit water closet</t>
        </is>
      </c>
      <c r="F45" s="12" t="inlineStr">
        <is>
          <t>Ambulatory-compartment either-side rule is not the dwelling typical</t>
        </is>
      </c>
      <c r="G45" s="11" t="inlineStr">
        <is>
          <t>Direct</t>
        </is>
      </c>
      <c r="H45" s="12" t="inlineStr">
        <is>
          <t>Place the flush on the open side within the 308/309 envelope</t>
        </is>
      </c>
      <c r="I45" s="11" t="inlineStr">
        <is>
          <t>Verified</t>
        </is>
      </c>
    </row>
    <row r="46" ht="104" customHeight="1">
      <c r="A46" s="9" t="inlineStr">
        <is>
          <t>7. Toilet and bathing facilities (grab bars in place)</t>
        </is>
      </c>
      <c r="B46" s="9" t="inlineStr">
        <is>
          <t>604.7.1</t>
        </is>
      </c>
      <c r="C46" s="9" t="inlineStr">
        <is>
          <t>Toilet-paper dispenser</t>
        </is>
      </c>
      <c r="D46" s="9" t="inlineStr">
        <is>
          <t>Above grab bar: outlet 24–36 inches (610–915 mm) from rear wall. Below grab bar: 24–42 inches (610–1063 mm) from rear wall. Outlet 18–48 inches (455–1220 mm) AFF. Two-roll ≤ 5-inch (125 mm) diameter exception: 7–9 inches (180–230 mm) in front of the WC, outlet 15–48 inches (380–1220 mm) AFF</t>
        </is>
      </c>
      <c r="E46" s="9" t="inlineStr">
        <is>
          <t>Paper dispensers at the Accessible WC</t>
        </is>
      </c>
      <c r="F46" s="9" t="inlineStr">
        <is>
          <t>Delivery-controlling dispensers prohibited; 309.4 and 609.3 also apply</t>
        </is>
      </c>
      <c r="G46" s="11" t="inlineStr">
        <is>
          <t>Direct</t>
        </is>
      </c>
      <c r="H46" s="9" t="inlineStr">
        <is>
          <t>Locate the dispenser in the stated wall zone; do not use a controlled-delivery type</t>
        </is>
      </c>
      <c r="I46" s="11" t="inlineStr">
        <is>
          <t>Verified</t>
        </is>
      </c>
    </row>
    <row r="47" ht="72" customHeight="1">
      <c r="A47" s="12" t="inlineStr">
        <is>
          <t>7. Toilet and bathing facilities (grab bars in place)</t>
        </is>
      </c>
      <c r="B47" s="12" t="inlineStr">
        <is>
          <t>1102.11.2 / 606.2–606.6</t>
        </is>
      </c>
      <c r="C47" s="12" t="inlineStr">
        <is>
          <t>Lavatory</t>
        </is>
      </c>
      <c r="D47" s="12" t="inlineStr">
        <is>
          <t>Forward-approach 305.3 CFS with 306 knee/toe. Front of lavatory 34 inches (865 mm) max AFF to the higher of rim or counter. Faucets 309; metering 10 seconds min. Pipes insulated; no sharp undersides</t>
        </is>
      </c>
      <c r="E47" s="12" t="inlineStr">
        <is>
          <t>Accessible-unit lavatory</t>
        </is>
      </c>
      <c r="F47" s="12" t="inlineStr">
        <is>
          <t>Parallel CFS at kitchen sinks without cooktop/range and at wet bars; enhanced-reach faucet/soap 11 inches (280 mm) max depth; automatic faucet reach-depth 11 inches (280 mm)</t>
        </is>
      </c>
      <c r="G47" s="11" t="inlineStr">
        <is>
          <t>Direct</t>
        </is>
      </c>
      <c r="H47" s="12" t="inlineStr">
        <is>
          <t>Specify a 865 mm max open lavatory with insulated traps and a 1320 × 760 mm forward CFS</t>
        </is>
      </c>
      <c r="I47" s="11" t="inlineStr">
        <is>
          <t>Verified</t>
        </is>
      </c>
    </row>
    <row r="48" ht="56" customHeight="1">
      <c r="A48" s="9" t="inlineStr">
        <is>
          <t>7. Toilet and bathing facilities (grab bars in place)</t>
        </is>
      </c>
      <c r="B48" s="9" t="inlineStr">
        <is>
          <t>1102.11.2.1</t>
        </is>
      </c>
      <c r="C48" s="9" t="inlineStr">
        <is>
          <t>Equivalent vanity</t>
        </is>
      </c>
      <c r="D48" s="9" t="inlineStr">
        <is>
          <t>If non-Accessible units in the same facility have vanity countertop space, Accessible units get equivalent size and proximity to the lavatory</t>
        </is>
      </c>
      <c r="E48" s="9" t="inlineStr">
        <is>
          <t>Vanities provided in other units</t>
        </is>
      </c>
      <c r="F48" s="9" t="inlineStr">
        <is>
          <t>None stated</t>
        </is>
      </c>
      <c r="G48" s="13" t="inlineStr">
        <is>
          <t>Conditional</t>
        </is>
      </c>
      <c r="H48" s="9" t="inlineStr">
        <is>
          <t>Match Accessible-guestroom vanity length to the standard-room typical</t>
        </is>
      </c>
      <c r="I48" s="11" t="inlineStr">
        <is>
          <t>Verified</t>
        </is>
      </c>
    </row>
    <row r="49" ht="72" customHeight="1">
      <c r="A49" s="12" t="inlineStr">
        <is>
          <t>7. Toilet and bathing facilities (grab bars in place)</t>
        </is>
      </c>
      <c r="B49" s="12" t="inlineStr">
        <is>
          <t>1102.11.2 / 607.2–607.3</t>
        </is>
      </c>
      <c r="C49" s="12" t="inlineStr">
        <is>
          <t>Bathtub clearance and seat</t>
        </is>
      </c>
      <c r="D49" s="12" t="inlineStr">
        <is>
          <t>Clearance the length of the tub × 30 inches (760 mm) min depth; with a permanent head-end seat, extend 12 inches (305 mm) min beyond the head wall. Permanent or removable in-tub seat per 610</t>
        </is>
      </c>
      <c r="E49" s="12" t="inlineStr">
        <is>
          <t>Accessible-unit bathtub (if tub is the bathing fixture)</t>
        </is>
      </c>
      <c r="F49" s="12" t="inlineStr">
        <is>
          <t>Shower may be provided instead of a tub</t>
        </is>
      </c>
      <c r="G49" s="11" t="inlineStr">
        <is>
          <t>Direct</t>
        </is>
      </c>
      <c r="H49" s="12" t="inlineStr">
        <is>
          <t>If a tub is used, hold a 760 mm clear strip the full length and provide a 610 seat</t>
        </is>
      </c>
      <c r="I49" s="11" t="inlineStr">
        <is>
          <t>Verified</t>
        </is>
      </c>
    </row>
    <row r="50" ht="136" customHeight="1">
      <c r="A50" s="9" t="inlineStr">
        <is>
          <t>7. Toilet and bathing facilities (grab bars in place)</t>
        </is>
      </c>
      <c r="B50" s="9" t="inlineStr">
        <is>
          <t>607.4.1–607.4.2</t>
        </is>
      </c>
      <c r="C50" s="9" t="inlineStr">
        <is>
          <t>Bathtub grab bars in place</t>
        </is>
      </c>
      <c r="D50" s="9" t="inlineStr">
        <is>
          <t>Permanent-seat tub: two back-wall horizontals (one at 609.4, one 8–10 inches (205–255 mm) above the rim), 15 inches (380 mm) max from head wall to 12 inches (305 mm) max from control wall; control-end horizontal 24 inches (610 mm) min plus vertical 18 inches (455 mm) min. Removable-seat tub: back bars 24 inches (610 mm) min, 24 inches (610 mm) max from head wall; head-end horizontal 12 inches (305 mm) min</t>
        </is>
      </c>
      <c r="E50" s="9" t="inlineStr">
        <is>
          <t>Accessible-unit bathtub</t>
        </is>
      </c>
      <c r="F50" s="9" t="inlineStr">
        <is>
          <t>L-shaped continuous control-end bar permitted</t>
        </is>
      </c>
      <c r="G50" s="11" t="inlineStr">
        <is>
          <t>Direct</t>
        </is>
      </c>
      <c r="H50" s="9" t="inlineStr">
        <is>
          <t>Install the full 607.4 grab-bar set; do not substitute blocking</t>
        </is>
      </c>
      <c r="I50" s="11" t="inlineStr">
        <is>
          <t>Verified</t>
        </is>
      </c>
    </row>
    <row r="51" ht="72" customHeight="1">
      <c r="A51" s="12" t="inlineStr">
        <is>
          <t>7. Toilet and bathing facilities (grab bars in place)</t>
        </is>
      </c>
      <c r="B51" s="12" t="inlineStr">
        <is>
          <t>607.5–607.8</t>
        </is>
      </c>
      <c r="C51" s="12" t="inlineStr">
        <is>
          <t>Bathtub controls, hand shower, enclosure, temperature</t>
        </is>
      </c>
      <c r="D51" s="12" t="inlineStr">
        <is>
          <t>Controls between rim and grab bar and between the open side and tub centerline; 309.4. Hand shower hose 59 inches (1500 mm) min, nonpositive shutoff. No enclosure tracks on the rim. Water 120°F (49°C) maximum</t>
        </is>
      </c>
      <c r="E51" s="12" t="inlineStr">
        <is>
          <t>Accessible-unit bathtub</t>
        </is>
      </c>
      <c r="F51" s="12" t="inlineStr">
        <is>
          <t>Drain stoppers excepted from the control location</t>
        </is>
      </c>
      <c r="G51" s="11" t="inlineStr">
        <is>
          <t>Direct</t>
        </is>
      </c>
      <c r="H51" s="12" t="inlineStr">
        <is>
          <t>Specify a 1500 mm hand shower, rim-free enclosure and 49°C limit</t>
        </is>
      </c>
      <c r="I51" s="11" t="inlineStr">
        <is>
          <t>Verified</t>
        </is>
      </c>
    </row>
    <row r="52" ht="104" customHeight="1">
      <c r="A52" s="9" t="inlineStr">
        <is>
          <t>7. Toilet and bathing facilities (grab bars in place)</t>
        </is>
      </c>
      <c r="B52" s="9" t="inlineStr">
        <is>
          <t>1102.11.2 / 608.2.1</t>
        </is>
      </c>
      <c r="C52" s="9" t="inlineStr">
        <is>
          <t>Transfer shower size and new clearance</t>
        </is>
      </c>
      <c r="D52" s="9" t="inlineStr">
        <is>
          <t>Transfer shower 36 × 36 inches (915 × 915 mm) inside at center points; entry 36 inches (915 mm) min. New adjacent clearance 52 × 36 inches (1320 × 915 mm); length measured from the control wall or from 4 inches (100 mm) behind it. Seat on the wall opposite the control wall</t>
        </is>
      </c>
      <c r="E52" s="9" t="inlineStr">
        <is>
          <t>Accessible-unit transfer shower</t>
        </is>
      </c>
      <c r="F52" s="9" t="inlineStr">
        <is>
          <t>Existing clearance 48 × 36 inches (1220 × 915 mm). Seat not required in private-office single-occupant showers with reinforcement</t>
        </is>
      </c>
      <c r="G52" s="11" t="inlineStr">
        <is>
          <t>Direct</t>
        </is>
      </c>
      <c r="H52" s="9" t="inlineStr">
        <is>
          <t>If a transfer shower is used, hold 915 × 915 mm with a 1320 × 915 mm clear</t>
        </is>
      </c>
      <c r="I52" s="11" t="inlineStr">
        <is>
          <t>Verified</t>
        </is>
      </c>
    </row>
    <row r="53" ht="72" customHeight="1">
      <c r="A53" s="12" t="inlineStr">
        <is>
          <t>7. Toilet and bathing facilities (grab bars in place)</t>
        </is>
      </c>
      <c r="B53" s="12" t="inlineStr">
        <is>
          <t>608.2.2</t>
        </is>
      </c>
      <c r="C53" s="12" t="inlineStr">
        <is>
          <t>Standard roll-in shower</t>
        </is>
      </c>
      <c r="D53" s="12" t="inlineStr">
        <is>
          <t>Inside 60 inches (1525 mm) min wide × 30 inches (760 mm) min deep; entry 60 inches (1525 mm) min. Adjacent clearance 60 × 30 inches (1525 × 760 mm). Folding 610 seat on an end wall</t>
        </is>
      </c>
      <c r="E53" s="12" t="inlineStr">
        <is>
          <t>Accessible-unit standard roll-in</t>
        </is>
      </c>
      <c r="F53" s="12" t="inlineStr">
        <is>
          <t>606 lavatory permitted at the clearance end opposite the seat</t>
        </is>
      </c>
      <c r="G53" s="11" t="inlineStr">
        <is>
          <t>Direct</t>
        </is>
      </c>
      <c r="H53" s="12" t="inlineStr">
        <is>
          <t>Prefer a 1525 × 760 mm roll-in with a 1525 × 760 mm clear if the Accessible bath is a shower</t>
        </is>
      </c>
      <c r="I53" s="11" t="inlineStr">
        <is>
          <t>Verified</t>
        </is>
      </c>
    </row>
    <row r="54" ht="72" customHeight="1">
      <c r="A54" s="9" t="inlineStr">
        <is>
          <t>7. Toilet and bathing facilities (grab bars in place)</t>
        </is>
      </c>
      <c r="B54" s="9" t="inlineStr">
        <is>
          <t>608.2.3</t>
        </is>
      </c>
      <c r="C54" s="9" t="inlineStr">
        <is>
          <t>Alternate roll-in shower</t>
        </is>
      </c>
      <c r="D54" s="9" t="inlineStr">
        <is>
          <t>Inside 60 inches (1525 mm) min wide × 36 inches (915 mm) deep; entry 36 inches (915 mm) min at one end of the 1525 mm width. Seat wall 24 inches (610 mm) min to 36 inches (915 mm) max on the entry side</t>
        </is>
      </c>
      <c r="E54" s="9" t="inlineStr">
        <is>
          <t>Accessible-unit alternate roll-in</t>
        </is>
      </c>
      <c r="F54" s="9" t="inlineStr">
        <is>
          <t>Seat exception as 608.2.1.3</t>
        </is>
      </c>
      <c r="G54" s="13" t="inlineStr">
        <is>
          <t>Conditional</t>
        </is>
      </c>
      <c r="H54" s="9" t="inlineStr">
        <is>
          <t>Use only if the Accessible bath is planned as an alternate roll-in</t>
        </is>
      </c>
      <c r="I54" s="11" t="inlineStr">
        <is>
          <t>Verified</t>
        </is>
      </c>
    </row>
    <row r="55" ht="140" customHeight="1">
      <c r="A55" s="12" t="inlineStr">
        <is>
          <t>7. Toilet and bathing facilities (grab bars in place)</t>
        </is>
      </c>
      <c r="B55" s="12" t="inlineStr">
        <is>
          <t>608.3.1–608.3.3</t>
        </is>
      </c>
      <c r="C55" s="12" t="inlineStr">
        <is>
          <t>Shower grab bars in place</t>
        </is>
      </c>
      <c r="D55" s="12" t="inlineStr">
        <is>
          <t>Transfer: horizontal across control wall and back wall to 18 inches (455 mm) from the control wall; vertical 18 inches (455 mm) min, 3–6 inches (75–150 mm) above the horizontal, 4 inches (100 mm) max from the front edge. Roll-in and alternate: back/side bars to 6 inches (150 mm) from adjacent walls; roll-in back bar not required to exceed 48 inches (1220 mm); side bar not required to exceed 30 inches (760 mm); side-wall trigger within 72 inches (1830 mm) of the seat wall</t>
        </is>
      </c>
      <c r="E55" s="12" t="inlineStr">
        <is>
          <t>Accessible-unit showers</t>
        </is>
      </c>
      <c r="F55" s="12" t="inlineStr">
        <is>
          <t>Private-office reinforcement-only exception not typical</t>
        </is>
      </c>
      <c r="G55" s="11" t="inlineStr">
        <is>
          <t>Direct</t>
        </is>
      </c>
      <c r="H55" s="12" t="inlineStr">
        <is>
          <t>Install 608.3 bars in the chosen shower type; this is not blocking</t>
        </is>
      </c>
      <c r="I55" s="11" t="inlineStr">
        <is>
          <t>Verified</t>
        </is>
      </c>
    </row>
    <row r="56" ht="140" customHeight="1">
      <c r="A56" s="9" t="inlineStr">
        <is>
          <t>7. Toilet and bathing facilities (grab bars in place)</t>
        </is>
      </c>
      <c r="B56" s="9" t="inlineStr">
        <is>
          <t>608.4–608.8</t>
        </is>
      </c>
      <c r="C56" s="9" t="inlineStr">
        <is>
          <t>Shower controls, hand shower, threshold, temperature</t>
        </is>
      </c>
      <c r="D56" s="9" t="inlineStr">
        <is>
          <t>Controls/hand shower 38–48 inches (965–1220 mm) AFF. Transfer: on the control wall, 15 inches (380 mm) max from control-wall centerline toward the opening. Standard roll-in: on the back wall, 16–27 inches (405–685 mm) from the seat-wall. Hose 59 inches (1500 mm) min; holder 38–48 inches (965–1220 mm) AFF. Roll-in threshold 1/2 inch (13 mm) max; transfer threshold 1/2 inch (13 mm) beveled, rounded or vertical. Water 120°F (49°C) max</t>
        </is>
      </c>
      <c r="E56" s="9" t="inlineStr">
        <is>
          <t>Accessible-unit showers</t>
        </is>
      </c>
      <c r="F56" s="9" t="inlineStr">
        <is>
          <t>Existing transfer threshold 2 inches (51 mm) max only if a 13 mm threshold would disturb slab reinforcement. Fixed head 48 inches (1220 mm) max in lieu of hand shower is not permitted in Accessible or Type A units</t>
        </is>
      </c>
      <c r="G56" s="11" t="inlineStr">
        <is>
          <t>Direct</t>
        </is>
      </c>
      <c r="H56" s="9" t="inlineStr">
        <is>
          <t>Place controls in the 965–1220 mm band; specify a 1500 mm hand shower and 13 mm threshold</t>
        </is>
      </c>
      <c r="I56" s="11" t="inlineStr">
        <is>
          <t>Verified</t>
        </is>
      </c>
    </row>
    <row r="57" ht="88" customHeight="1">
      <c r="A57" s="12" t="inlineStr">
        <is>
          <t>7. Toilet and bathing facilities (grab bars in place)</t>
        </is>
      </c>
      <c r="B57" s="12" t="inlineStr">
        <is>
          <t>609.2–609.3</t>
        </is>
      </c>
      <c r="C57" s="12" t="inlineStr">
        <is>
          <t>Grab-bar section and spacing</t>
        </is>
      </c>
      <c r="D57" s="12" t="inlineStr">
        <is>
          <t>Circular OD 1 1/4–2 inches (32–51 mm); noncircular 2 inches (51 mm) max section, perimeter 4–4.8 inches (100–120 mm). Wall clearance 1 1/2 inches (38 mm); 12 inches (305 mm) min above to projecting objects (1 1/2 inches (38 mm) min at shower controls/fittings)</t>
        </is>
      </c>
      <c r="E57" s="12" t="inlineStr">
        <is>
          <t>All Accessible-unit grab bars</t>
        </is>
      </c>
      <c r="F57" s="12" t="inlineStr">
        <is>
          <t>Recessed dispensers projecting 1/4 inch (6.4 mm) max permitted in the 305 mm zone</t>
        </is>
      </c>
      <c r="G57" s="11" t="inlineStr">
        <is>
          <t>Direct</t>
        </is>
      </c>
      <c r="H57" s="12" t="inlineStr">
        <is>
          <t>Specify 32–51 mm bars at 38 mm off the wall</t>
        </is>
      </c>
      <c r="I57" s="11" t="inlineStr">
        <is>
          <t>Verified</t>
        </is>
      </c>
    </row>
    <row r="58" ht="56" customHeight="1">
      <c r="A58" s="9" t="inlineStr">
        <is>
          <t>7. Toilet and bathing facilities (grab bars in place)</t>
        </is>
      </c>
      <c r="B58" s="9" t="inlineStr">
        <is>
          <t>609.4</t>
        </is>
      </c>
      <c r="C58" s="9" t="inlineStr">
        <is>
          <t>Grab-bar mounting height</t>
        </is>
      </c>
      <c r="D58" s="9" t="inlineStr">
        <is>
          <t>Horizontal grab-bar height above the floor</t>
        </is>
      </c>
      <c r="E58" s="9" t="inlineStr">
        <is>
          <t>Grab bars charged by 604.5, 607.4 and 608.3</t>
        </is>
      </c>
      <c r="F58" s="9" t="inlineStr">
        <is>
          <t>Adult 609.4 paragraph is missing/garbled in the Chapter 6 extract (children’s 609.4.2 text is present)</t>
        </is>
      </c>
      <c r="G58" s="15" t="inlineStr">
        <is>
          <t>External verification</t>
        </is>
      </c>
      <c r="H58" s="9" t="inlineStr">
        <is>
          <t>Confirm adult 609.4 height from a readable source before locking bar AFF</t>
        </is>
      </c>
      <c r="I58" s="16" t="inlineStr">
        <is>
          <t>Verify source</t>
        </is>
      </c>
    </row>
    <row r="59" ht="40" customHeight="1">
      <c r="A59" s="12" t="inlineStr">
        <is>
          <t>7. Toilet and bathing facilities (grab bars in place)</t>
        </is>
      </c>
      <c r="B59" s="12" t="inlineStr">
        <is>
          <t>609.8 / 610.4</t>
        </is>
      </c>
      <c r="C59" s="12" t="inlineStr">
        <is>
          <t>Grab bar and seat strength</t>
        </is>
      </c>
      <c r="D59" s="12" t="inlineStr">
        <is>
          <t>250 pounds (1112 N) vertical or horizontal at any point on the bar/seat, fastener or supporting structure</t>
        </is>
      </c>
      <c r="E59" s="12" t="inlineStr">
        <is>
          <t>Grab bars and bath/shower seats</t>
        </is>
      </c>
      <c r="F59" s="12" t="inlineStr">
        <is>
          <t>None stated</t>
        </is>
      </c>
      <c r="G59" s="11" t="inlineStr">
        <is>
          <t>Direct</t>
        </is>
      </c>
      <c r="H59" s="12" t="inlineStr">
        <is>
          <t>Note 1112 N on the interior typicals and blocking/backing spec</t>
        </is>
      </c>
      <c r="I59" s="11" t="inlineStr">
        <is>
          <t>Verified</t>
        </is>
      </c>
    </row>
    <row r="60" ht="136" customHeight="1">
      <c r="A60" s="9" t="inlineStr">
        <is>
          <t>7. Toilet and bathing facilities (grab bars in place)</t>
        </is>
      </c>
      <c r="B60" s="9" t="inlineStr">
        <is>
          <t>610.2–610.3</t>
        </is>
      </c>
      <c r="C60" s="9" t="inlineStr">
        <is>
          <t>Bath and shower seat size</t>
        </is>
      </c>
      <c r="D60" s="9" t="inlineStr">
        <is>
          <t>Seat height 17–19 inches (430–485 mm) AFF. Removable in-tub 15–16 inches (380–405 mm) deep; permanent tub seat 15 inches (380 mm) min deep to or beyond the outer rim. Shower seat to within 3 inches (75 mm) of the entry. Rectangular rear edge 2 1/2 inches (64 mm) max from seat wall, front edge 15–16 inches (380–405 mm); L-seat “L” front 14–15 inches (355–380 mm), end 22–23 inches (560–585 mm) from the main seat wall</t>
        </is>
      </c>
      <c r="E60" s="9" t="inlineStr">
        <is>
          <t>Seats in Accessible tubs/showers</t>
        </is>
      </c>
      <c r="F60" s="9" t="inlineStr">
        <is>
          <t>None stated</t>
        </is>
      </c>
      <c r="G60" s="11" t="inlineStr">
        <is>
          <t>Direct</t>
        </is>
      </c>
      <c r="H60" s="9" t="inlineStr">
        <is>
          <t>Detail 430–485 mm seats to the 610 plan dimensions</t>
        </is>
      </c>
      <c r="I60" s="11" t="inlineStr">
        <is>
          <t>Verified</t>
        </is>
      </c>
    </row>
    <row r="61" ht="72" customHeight="1">
      <c r="A61" s="12" t="inlineStr">
        <is>
          <t>8. Kitchens</t>
        </is>
      </c>
      <c r="B61" s="12" t="inlineStr">
        <is>
          <t>1102.12 / 804.2.1–804.2.3</t>
        </is>
      </c>
      <c r="C61" s="12" t="inlineStr">
        <is>
          <t>Kitchen work-aisle clearance</t>
        </is>
      </c>
      <c r="D61" s="12" t="inlineStr">
        <is>
          <t>Pass-through (two entries): 40 inches (1015 mm) min between opposing bases/counters/appliances/walls. U-shape: 60 inches (1525 mm) min. No cooktop/range: 40 inches (1015 mm) min</t>
        </is>
      </c>
      <c r="E61" s="12" t="inlineStr">
        <is>
          <t>Kitchens in Accessible units</t>
        </is>
      </c>
      <c r="F61" s="12" t="inlineStr">
        <is>
          <t>U-shape with an island may use the 804.2.1 1015 mm aisle</t>
        </is>
      </c>
      <c r="G61" s="13" t="inlineStr">
        <is>
          <t>Conditional</t>
        </is>
      </c>
      <c r="H61" s="12" t="inlineStr">
        <is>
          <t>If a kitchenette exists, hold 1015 mm (1525 mm if U-shaped)</t>
        </is>
      </c>
      <c r="I61" s="11" t="inlineStr">
        <is>
          <t>Verified</t>
        </is>
      </c>
    </row>
    <row r="62" ht="72" customHeight="1">
      <c r="A62" s="9" t="inlineStr">
        <is>
          <t>8. Kitchens</t>
        </is>
      </c>
      <c r="B62" s="9" t="inlineStr">
        <is>
          <t>1102.12 / 804.3 / 902.4</t>
        </is>
      </c>
      <c r="C62" s="9" t="inlineStr">
        <is>
          <t>Accessible work surface</t>
        </is>
      </c>
      <c r="D62" s="9" t="inlineStr">
        <is>
          <t>At least one work surface 30 inches minimum in length (804.3 publishes inches only) complying with 902: forward CFS + 306; top 28 inches (710 mm) min to 34 inches (865 mm) max AFF</t>
        </is>
      </c>
      <c r="E62" s="9" t="inlineStr">
        <is>
          <t>Kitchens with a cooktop or conventional range</t>
        </is>
      </c>
      <c r="F62" s="9" t="inlineStr">
        <is>
          <t>Not required where no cooktop/conventional range; locate per 804.5.5.2 or 804.5.5.3 beside the oven</t>
        </is>
      </c>
      <c r="G62" s="13" t="inlineStr">
        <is>
          <t>Conditional</t>
        </is>
      </c>
      <c r="H62" s="9" t="inlineStr">
        <is>
          <t>Provide a 30 in × 710–865 mm work surface with knee space beside the oven</t>
        </is>
      </c>
      <c r="I62" s="11" t="inlineStr">
        <is>
          <t>Verified</t>
        </is>
      </c>
    </row>
    <row r="63" ht="56" customHeight="1">
      <c r="A63" s="12" t="inlineStr">
        <is>
          <t>8. Kitchens</t>
        </is>
      </c>
      <c r="B63" s="12" t="inlineStr">
        <is>
          <t>1102.12 / 804.4 / 606</t>
        </is>
      </c>
      <c r="C63" s="12" t="inlineStr">
        <is>
          <t>Kitchen sink</t>
        </is>
      </c>
      <c r="D63" s="12" t="inlineStr">
        <is>
          <t>Sink complies with 606: forward 305.3 CFS, 306 knee/toe, 34 inches (865 mm) max to rim/counter, faucets 309, insulated pipes</t>
        </is>
      </c>
      <c r="E63" s="12" t="inlineStr">
        <is>
          <t>Accessible-unit kitchen sink</t>
        </is>
      </c>
      <c r="F63" s="12" t="inlineStr">
        <is>
          <t>Parallel CFS permitted where no cooktop/range and at wet bars; knee/toe at only one bowl of a multi-bowl sink</t>
        </is>
      </c>
      <c r="G63" s="13" t="inlineStr">
        <is>
          <t>Conditional</t>
        </is>
      </c>
      <c r="H63" s="12" t="inlineStr">
        <is>
          <t>Specify an 865 mm max open sink with a 1320 × 760 mm forward CFS</t>
        </is>
      </c>
      <c r="I63" s="11" t="inlineStr">
        <is>
          <t>Verified</t>
        </is>
      </c>
    </row>
    <row r="64" ht="120" customHeight="1">
      <c r="A64" s="9" t="inlineStr">
        <is>
          <t>8. Kitchens</t>
        </is>
      </c>
      <c r="B64" s="9" t="inlineStr">
        <is>
          <t>804.5.1–804.5.5</t>
        </is>
      </c>
      <c r="C64" s="9" t="inlineStr">
        <is>
          <t>Appliance CFS and approach</t>
        </is>
      </c>
      <c r="D64" s="9" t="inlineStr">
        <is>
          <t>CFS at each appliance. Dishwasher door shall not obstruct its CFS or an adjacent sink. Cooktop: parallel or forward; forward needs 306 and insulated underside; parallel CFS centered. Oven door shall not obstruct its CFS; side-hinged ovens get the 804.3 work surface on the latch side; bottom-hinged on one side. Controls shall not require reaching across burners</t>
        </is>
      </c>
      <c r="E64" s="9" t="inlineStr">
        <is>
          <t>Kitchen appliances where provided</t>
        </is>
      </c>
      <c r="F64" s="9" t="inlineStr">
        <is>
          <t>Appliance doors/latches exempt from 309.4; open bottom-hinged doors exempt from 309.3</t>
        </is>
      </c>
      <c r="G64" s="13" t="inlineStr">
        <is>
          <t>Conditional</t>
        </is>
      </c>
      <c r="H64" s="9" t="inlineStr">
        <is>
          <t>Park a CFS at each appliance; keep oven swing clear of the CFS</t>
        </is>
      </c>
      <c r="I64" s="11" t="inlineStr">
        <is>
          <t>Verified</t>
        </is>
      </c>
    </row>
    <row r="65" ht="72" customHeight="1">
      <c r="A65" s="12" t="inlineStr">
        <is>
          <t>8. Kitchens</t>
        </is>
      </c>
      <c r="B65" s="12" t="inlineStr">
        <is>
          <t>804.5.6</t>
        </is>
      </c>
      <c r="C65" s="12" t="inlineStr">
        <is>
          <t>Refrigerator/freezer</t>
        </is>
      </c>
      <c r="D65" s="12" t="inlineStr">
        <is>
          <t>At least 50 percent of freezer shelves including the freezer bottom 54 inches (1370 mm) max AFF at maximum shelf positions. Parallel CFS; CFS centerline offset 24 inches (610 mm) max from the appliance centerline</t>
        </is>
      </c>
      <c r="E65" s="12" t="inlineStr">
        <is>
          <t>Combination refrigerator/freezer</t>
        </is>
      </c>
      <c r="F65" s="12" t="inlineStr">
        <is>
          <t>None stated</t>
        </is>
      </c>
      <c r="G65" s="13" t="inlineStr">
        <is>
          <t>Conditional</t>
        </is>
      </c>
      <c r="H65" s="12" t="inlineStr">
        <is>
          <t>Specify a fridge with ≥ 50% of the freezer at or below 1370 mm and a centered-within-610 mm parallel CFS</t>
        </is>
      </c>
      <c r="I65" s="11" t="inlineStr">
        <is>
          <t>Verified</t>
        </is>
      </c>
    </row>
    <row r="66" ht="72" customHeight="1">
      <c r="A66" s="9" t="inlineStr">
        <is>
          <t>9. Laundry equipment</t>
        </is>
      </c>
      <c r="B66" s="9" t="inlineStr">
        <is>
          <t>1102.10 / 611.2</t>
        </is>
      </c>
      <c r="C66" s="9" t="inlineStr">
        <is>
          <t>Laundry clear floor space</t>
        </is>
      </c>
      <c r="D66" s="9" t="inlineStr">
        <is>
          <t>Parallel-approach CFS at each machine. Top-load: CFS centered on the appliance. Front-load: CFS centerline offset 24 inches (610 mm) max from the door-opening centerline</t>
        </is>
      </c>
      <c r="E66" s="9" t="inlineStr">
        <is>
          <t>Washers and dryers in the Accessible unit</t>
        </is>
      </c>
      <c r="F66" s="9" t="inlineStr">
        <is>
          <t>None stated</t>
        </is>
      </c>
      <c r="G66" s="13" t="inlineStr">
        <is>
          <t>Conditional</t>
        </is>
      </c>
      <c r="H66" s="9" t="inlineStr">
        <is>
          <t>If in-unit laundry exists, center a 1320 × 760 mm parallel CFS (offset ≤ 610 mm at front-load)</t>
        </is>
      </c>
      <c r="I66" s="11" t="inlineStr">
        <is>
          <t>Verified</t>
        </is>
      </c>
    </row>
    <row r="67" ht="88" customHeight="1">
      <c r="A67" s="12" t="inlineStr">
        <is>
          <t>9. Laundry equipment</t>
        </is>
      </c>
      <c r="B67" s="12" t="inlineStr">
        <is>
          <t>611.3–611.4</t>
        </is>
      </c>
      <c r="C67" s="12" t="inlineStr">
        <is>
          <t>Laundry operable parts and height</t>
        </is>
      </c>
      <c r="D67" s="12" t="inlineStr">
        <is>
          <t>Operable parts, doors, lint screens and detergent compartments comply with 308 and 309. 308.3.2 obstruction height permitted 36 inches (915 mm) max. Top-load door 36 inches (915 mm) max AFF. Front-load opening bottom 15–36 inches (380–915 mm) AFF</t>
        </is>
      </c>
      <c r="E67" s="12" t="inlineStr">
        <is>
          <t>In-unit laundry</t>
        </is>
      </c>
      <c r="F67" s="12" t="inlineStr">
        <is>
          <t>None stated</t>
        </is>
      </c>
      <c r="G67" s="13" t="inlineStr">
        <is>
          <t>Conditional</t>
        </is>
      </c>
      <c r="H67" s="12" t="inlineStr">
        <is>
          <t>Specify front-load openings 380–915 mm AFF and controls in the reach range</t>
        </is>
      </c>
      <c r="I67" s="11" t="inlineStr">
        <is>
          <t>Verified</t>
        </is>
      </c>
    </row>
    <row r="68" ht="40" customHeight="1">
      <c r="A68" s="9" t="inlineStr">
        <is>
          <t>10. Beds and wheelchair charging</t>
        </is>
      </c>
      <c r="B68" s="9" t="inlineStr">
        <is>
          <t>1102.15</t>
        </is>
      </c>
      <c r="C68" s="9" t="inlineStr">
        <is>
          <t>Accessible bed quantity</t>
        </is>
      </c>
      <c r="D68" s="9" t="inlineStr">
        <is>
          <t>In at least one sleeping area, minimum five percent, but not less than one bed, shall comply with 1102.15</t>
        </is>
      </c>
      <c r="E68" s="9" t="inlineStr">
        <is>
          <t>Accessible-unit sleeping areas</t>
        </is>
      </c>
      <c r="F68" s="9" t="inlineStr">
        <is>
          <t>None stated</t>
        </is>
      </c>
      <c r="G68" s="11" t="inlineStr">
        <is>
          <t>Direct</t>
        </is>
      </c>
      <c r="H68" s="9" t="inlineStr">
        <is>
          <t>Make at least one bed per Accessible guestroom the 1102.15 bed</t>
        </is>
      </c>
      <c r="I68" s="11" t="inlineStr">
        <is>
          <t>Verified</t>
        </is>
      </c>
    </row>
    <row r="69" ht="40" customHeight="1">
      <c r="A69" s="12" t="inlineStr">
        <is>
          <t>10. Beds and wheelchair charging</t>
        </is>
      </c>
      <c r="B69" s="12" t="inlineStr">
        <is>
          <t>1102.15.1 / 305.3.1</t>
        </is>
      </c>
      <c r="C69" s="12" t="inlineStr">
        <is>
          <t>Bed clear floor space</t>
        </is>
      </c>
      <c r="D69" s="12" t="inlineStr">
        <is>
          <t>CFS on both sides, positioned for parallel approach to the bed side</t>
        </is>
      </c>
      <c r="E69" s="12" t="inlineStr">
        <is>
          <t>The 1102.15 bed</t>
        </is>
      </c>
      <c r="F69" s="12" t="inlineStr">
        <is>
          <t>One CFS between two beds may serve both</t>
        </is>
      </c>
      <c r="G69" s="11" t="inlineStr">
        <is>
          <t>Direct</t>
        </is>
      </c>
      <c r="H69" s="12" t="inlineStr">
        <is>
          <t>Hold 1320 × 760 mm parallel CFS on both sides, or one CFS between a pair</t>
        </is>
      </c>
      <c r="I69" s="11" t="inlineStr">
        <is>
          <t>Verified</t>
        </is>
      </c>
    </row>
    <row r="70" ht="40" customHeight="1">
      <c r="A70" s="9" t="inlineStr">
        <is>
          <t>10. Beds and wheelchair charging</t>
        </is>
      </c>
      <c r="B70" s="9" t="inlineStr">
        <is>
          <t>1102.15.2</t>
        </is>
      </c>
      <c r="C70" s="9" t="inlineStr">
        <is>
          <t>Open bed frame</t>
        </is>
      </c>
      <c r="D70" s="9" t="inlineStr">
        <is>
          <t>At least one bed shall have an open bed frame</t>
        </is>
      </c>
      <c r="E70" s="9" t="inlineStr">
        <is>
          <t>The 1102.15 bed</t>
        </is>
      </c>
      <c r="F70" s="9" t="inlineStr">
        <is>
          <t>None stated</t>
        </is>
      </c>
      <c r="G70" s="11" t="inlineStr">
        <is>
          <t>Direct</t>
        </is>
      </c>
      <c r="H70" s="9" t="inlineStr">
        <is>
          <t>Specify an open-frame bed (no solid base blocking toe space)</t>
        </is>
      </c>
      <c r="I70" s="11" t="inlineStr">
        <is>
          <t>Verified</t>
        </is>
      </c>
    </row>
    <row r="71" ht="40" customHeight="1">
      <c r="A71" s="12" t="inlineStr">
        <is>
          <t>10. Beds and wheelchair charging</t>
        </is>
      </c>
      <c r="B71" s="12" t="inlineStr">
        <is>
          <t>1102.15.3</t>
        </is>
      </c>
      <c r="C71" s="12" t="inlineStr">
        <is>
          <t>Mattress height</t>
        </is>
      </c>
      <c r="D71" s="12" t="inlineStr">
        <is>
          <t>17 to 23 inches (430 to 585 mm) from the floor to the top of the uncompressed mattress</t>
        </is>
      </c>
      <c r="E71" s="12" t="inlineStr">
        <is>
          <t>At least one bed</t>
        </is>
      </c>
      <c r="F71" s="12" t="inlineStr">
        <is>
          <t>None stated</t>
        </is>
      </c>
      <c r="G71" s="11" t="inlineStr">
        <is>
          <t>Direct</t>
        </is>
      </c>
      <c r="H71" s="12" t="inlineStr">
        <is>
          <t>Schedule mattress height 430–585 mm AFF</t>
        </is>
      </c>
      <c r="I71" s="11" t="inlineStr">
        <is>
          <t>Verified</t>
        </is>
      </c>
    </row>
    <row r="72" ht="56" customHeight="1">
      <c r="A72" s="9" t="inlineStr">
        <is>
          <t>10. Beds and wheelchair charging</t>
        </is>
      </c>
      <c r="B72" s="9" t="inlineStr">
        <is>
          <t>1102.15.4 / 906.1–906.3</t>
        </is>
      </c>
      <c r="C72" s="9" t="inlineStr">
        <is>
          <t>Wheelchair charging</t>
        </is>
      </c>
      <c r="D72" s="9" t="inlineStr">
        <is>
          <t>The 1102.15.1 CFS also serves as a charging station: grounded duplex outlet, CFS at the station, height in a 308 reach range</t>
        </is>
      </c>
      <c r="E72" s="9" t="inlineStr">
        <is>
          <t>Accessible-unit sleeping area</t>
        </is>
      </c>
      <c r="F72" s="9" t="inlineStr">
        <is>
          <t>None stated</t>
        </is>
      </c>
      <c r="G72" s="11" t="inlineStr">
        <is>
          <t>Direct</t>
        </is>
      </c>
      <c r="H72" s="9" t="inlineStr">
        <is>
          <t>Put a duplex in the 380–1220 mm reach range at the bed CFS</t>
        </is>
      </c>
      <c r="I72" s="11" t="inlineStr">
        <is>
          <t>Verified</t>
        </is>
      </c>
    </row>
    <row r="73" ht="104" customHeight="1">
      <c r="A73" s="12" t="inlineStr">
        <is>
          <t>11. Windows and storage</t>
        </is>
      </c>
      <c r="B73" s="12" t="inlineStr">
        <is>
          <t>1102.13 / 506.1–506.2</t>
        </is>
      </c>
      <c r="C73" s="12" t="inlineStr">
        <is>
          <t>Operable window force</t>
        </is>
      </c>
      <c r="D73" s="12" t="inlineStr">
        <is>
          <t>At least one operable window in an accessible room complies with 506. Locking/latching operable parts comply with 309. Opening/closing force 8.5 pounds (37.7 N) max for vertical or horizontal sliding; 5 pounds (22.2 N) max for all other types (AAMA 513 test method named, values not imported)</t>
        </is>
      </c>
      <c r="E73" s="12" t="inlineStr">
        <is>
          <t>Operable windows in Accessible units</t>
        </is>
      </c>
      <c r="F73" s="12" t="inlineStr">
        <is>
          <t>Kitchen and bathroom windows (1102.13 Ex. 1–2); employee-only windows; operable skylights. Natural-ventilation or emergency-escape windows, where required, shall be the complying window</t>
        </is>
      </c>
      <c r="G73" s="11" t="inlineStr">
        <is>
          <t>Direct</t>
        </is>
      </c>
      <c r="H73" s="12" t="inlineStr">
        <is>
          <t>Specify one complying window per Accessible guestroom (not the bath/kitchen window) within 37.7 N / 22.2 N</t>
        </is>
      </c>
      <c r="I73" s="11" t="inlineStr">
        <is>
          <t>Verified</t>
        </is>
      </c>
    </row>
    <row r="74" ht="40" customHeight="1">
      <c r="A74" s="9" t="inlineStr">
        <is>
          <t>11. Windows and storage</t>
        </is>
      </c>
      <c r="B74" s="9" t="inlineStr">
        <is>
          <t>1102.14 / 905.2–905.4</t>
        </is>
      </c>
      <c r="C74" s="9" t="inlineStr">
        <is>
          <t>Storage</t>
        </is>
      </c>
      <c r="D74" s="9" t="inlineStr">
        <is>
          <t>Where storage is provided, at least one of each type: CFS, height in a 308 reach range, operable parts 309</t>
        </is>
      </c>
      <c r="E74" s="9" t="inlineStr">
        <is>
          <t>Closets, shelves, rods other than kitchen cabinets</t>
        </is>
      </c>
      <c r="F74" s="9" t="inlineStr">
        <is>
          <t>Kitchen cabinets exempt</t>
        </is>
      </c>
      <c r="G74" s="11" t="inlineStr">
        <is>
          <t>Direct</t>
        </is>
      </c>
      <c r="H74" s="9" t="inlineStr">
        <is>
          <t>Put at least one rod/shelf of each type in the 380–1220 mm reach range with a CFS</t>
        </is>
      </c>
      <c r="I74" s="11" t="inlineStr">
        <is>
          <t>Verified</t>
        </is>
      </c>
    </row>
    <row r="75" ht="104" customHeight="1">
      <c r="A75" s="12" t="inlineStr">
        <is>
          <t>12. In-unit ramps, elevators and platform lifts</t>
        </is>
      </c>
      <c r="B75" s="12" t="inlineStr">
        <is>
          <t>1102.6 / 405.2–405.8</t>
        </is>
      </c>
      <c r="C75" s="12" t="inlineStr">
        <is>
          <t>Ramp geometry</t>
        </is>
      </c>
      <c r="D75" s="12" t="inlineStr">
        <is>
          <t>Running slope steeper than 1:20 and not steeper than 1:12. Cross slope not steeper than 1:48. Clear width 36 inches (915 mm) min. Rise 30 inches (760 mm) max per run. Landings 60 inches (1525 mm) min long; direction-change landing 60 × 60 inches (1525 × 1525 mm). Handrails where rise &gt; 6 inches (150 mm)</t>
        </is>
      </c>
      <c r="E75" s="12" t="inlineStr">
        <is>
          <t>Ramps inside the Accessible unit</t>
        </is>
      </c>
      <c r="F75" s="12" t="inlineStr">
        <is>
          <t>Existing steeper ramps per Table 405.2 (flattened: no cell adopted; fn 1: slope steeper than 1:8 not permitted)</t>
        </is>
      </c>
      <c r="G75" s="13" t="inlineStr">
        <is>
          <t>Conditional</t>
        </is>
      </c>
      <c r="H75" s="12" t="inlineStr">
        <is>
          <t>If a unit ramp exists, hold 1:12, 915 mm width, 760 mm max rise and 1525 mm landings</t>
        </is>
      </c>
      <c r="I75" s="11" t="inlineStr">
        <is>
          <t>Verified</t>
        </is>
      </c>
    </row>
    <row r="76" ht="104" customHeight="1">
      <c r="A76" s="9" t="inlineStr">
        <is>
          <t>12. In-unit ramps, elevators and platform lifts</t>
        </is>
      </c>
      <c r="B76" s="9" t="inlineStr">
        <is>
          <t>1102.7 / Table 407.4.1</t>
        </is>
      </c>
      <c r="C76" s="9" t="inlineStr">
        <is>
          <t>Destination-elevator car size</t>
        </is>
      </c>
      <c r="D76" s="9" t="inlineStr">
        <is>
          <t>Elevators within the unit comply with 407, 408 or 409. Inside dimensions per Table 407.4.1</t>
        </is>
      </c>
      <c r="E76" s="9" t="inlineStr">
        <is>
          <t>Elevators inside the Accessible unit</t>
        </is>
      </c>
      <c r="F76" s="9" t="inlineStr">
        <is>
          <t>Flattened blob: no cell adopted. Readable footnotes: minus 7/8 inch (16 mm) door-width tolerance (fn 1); other cars with 36-inch (915 mm) door and 60-inch (1525 mm) diameter with door closed (fn 2). Existing-car exception: 16 square feet (1.5 m²) min with 36 × 54 inches (915 × 1370 mm) min</t>
        </is>
      </c>
      <c r="G76" s="15" t="inlineStr">
        <is>
          <t>External verification</t>
        </is>
      </c>
      <c r="H76" s="9" t="inlineStr">
        <is>
          <t>Confirm car size from a readable Table 407.4.1; apply the readable footnotes</t>
        </is>
      </c>
      <c r="I76" s="16" t="inlineStr">
        <is>
          <t>Verify source</t>
        </is>
      </c>
    </row>
    <row r="77" ht="56" customHeight="1">
      <c r="A77" s="12" t="inlineStr">
        <is>
          <t>12. In-unit ramps, elevators and platform lifts</t>
        </is>
      </c>
      <c r="B77" s="12" t="inlineStr">
        <is>
          <t>1102.7 / 408.4.1</t>
        </is>
      </c>
      <c r="C77" s="12" t="inlineStr">
        <is>
          <t>LULA car size</t>
        </is>
      </c>
      <c r="D77" s="12" t="inlineStr">
        <is>
          <t>Clear floor width 42 inches (1065 mm) min; area not less than 15.75 square feet (1.46 m²); CFS per 305.3</t>
        </is>
      </c>
      <c r="E77" s="12" t="inlineStr">
        <is>
          <t>Limited-use/limited-application elevator in the unit</t>
        </is>
      </c>
      <c r="F77" s="12" t="inlineStr">
        <is>
          <t>Existing: 15 square feet (1.4 m²) with 36 × 54 inches (915 × 1370 mm); or 51 × 51 inches (1295 × 1295 mm) with 36-inch (915 mm) door</t>
        </is>
      </c>
      <c r="G77" s="13" t="inlineStr">
        <is>
          <t>Conditional</t>
        </is>
      </c>
      <c r="H77" s="12" t="inlineStr">
        <is>
          <t>If a LULA is used, hold 1065 mm width and 1.46 m²</t>
        </is>
      </c>
      <c r="I77" s="11" t="inlineStr">
        <is>
          <t>Verified</t>
        </is>
      </c>
    </row>
    <row r="78" ht="40" customHeight="1">
      <c r="A78" s="9" t="inlineStr">
        <is>
          <t>12. In-unit ramps, elevators and platform lifts</t>
        </is>
      </c>
      <c r="B78" s="9" t="inlineStr">
        <is>
          <t>1102.7 / 409.4.1.1</t>
        </is>
      </c>
      <c r="C78" s="9" t="inlineStr">
        <is>
          <t>New private-residence elevator</t>
        </is>
      </c>
      <c r="D78" s="9" t="inlineStr">
        <is>
          <t>New-building car 36 inches (915 mm) min width × 52 inches (1320 mm) min depth</t>
        </is>
      </c>
      <c r="E78" s="9" t="inlineStr">
        <is>
          <t>Private residence elevator in the unit</t>
        </is>
      </c>
      <c r="F78" s="9" t="inlineStr">
        <is>
          <t>Existing: 36 × 48 inches (915 × 1220 mm)</t>
        </is>
      </c>
      <c r="G78" s="13" t="inlineStr">
        <is>
          <t>Conditional</t>
        </is>
      </c>
      <c r="H78" s="9" t="inlineStr">
        <is>
          <t>If a private elevator is used in a new Accessible unit, hold 915 × 1320 mm</t>
        </is>
      </c>
      <c r="I78" s="11" t="inlineStr">
        <is>
          <t>Verified</t>
        </is>
      </c>
    </row>
    <row r="79" ht="120" customHeight="1">
      <c r="A79" s="12" t="inlineStr">
        <is>
          <t>12. In-unit ramps, elevators and platform lifts</t>
        </is>
      </c>
      <c r="B79" s="12" t="inlineStr">
        <is>
          <t>1102.8 / 410.5.1.1</t>
        </is>
      </c>
      <c r="C79" s="12" t="inlineStr">
        <is>
          <t>New platform-lift size</t>
        </is>
      </c>
      <c r="D79" s="12" t="inlineStr">
        <is>
          <t>New lifts with a single door or opposite-end doors: 36 inches (915 mm) min width × 52 inches (1320 mm) min depth. Adjacent-side doors (new): 42 × 60 inches (1065 × 1525 mm). End-door clear 32 inches (815 mm) min (opposite ends) or 36 inches (915 mm) min (narrow end with a long-side door); side door 42 inches (1065 mm) min. Doors remain open 20 seconds min</t>
        </is>
      </c>
      <c r="E79" s="12" t="inlineStr">
        <is>
          <t>Platform lifts inside the Accessible unit</t>
        </is>
      </c>
      <c r="F79" s="12" t="inlineStr">
        <is>
          <t>Incline lifts with restraining arms: 36 × 48 inches (915 × 1220 mm). Existing opposite-end: 36 × 48 inches (915 × 1220 mm); existing adjacent: 36 × 60 inches (915 × 1525 mm)</t>
        </is>
      </c>
      <c r="G79" s="13" t="inlineStr">
        <is>
          <t>Conditional</t>
        </is>
      </c>
      <c r="H79" s="12" t="inlineStr">
        <is>
          <t>If a lift is used, hold 915 × 1320 mm (new opposite-end) and 815 mm door clear</t>
        </is>
      </c>
      <c r="I79" s="11" t="inlineStr">
        <is>
          <t>Verified</t>
        </is>
      </c>
    </row>
    <row r="80" ht="120" customHeight="1">
      <c r="A80" s="9" t="inlineStr">
        <is>
          <t>13. Other-bath grab-bar reinforcement</t>
        </is>
      </c>
      <c r="B80" s="9" t="inlineStr">
        <is>
          <t>1102.11.1 / 1104.11.1</t>
        </is>
      </c>
      <c r="C80" s="9" t="inlineStr">
        <is>
          <t>Non-required-bath blocking</t>
        </is>
      </c>
      <c r="D80" s="9" t="inlineStr">
        <is>
          <t>Fixtures in baths not required to comply with 1102.11.2 get reinforcement for future grab bars and seats per 604.5 (WC), 607.4 (tubs) and 608.3 / 608.2.1.3 / 608.2.2.3 / 608.2.3.2 (showers)</t>
        </is>
      </c>
      <c r="E80" s="9" t="inlineStr">
        <is>
          <t>Other toilets/baths in the Accessible unit</t>
        </is>
      </c>
      <c r="F80" s="9" t="inlineStr">
        <is>
          <t>Not required where Type B units are not provided in the structure. 1104.11.1 exceptions: powder room that is not the only WC/lav on the accessible level; vertical WC side-bar component; 24 in rear / 24 in side substitutes; swing-up bars; shower seat not required in compartments larger than 36 × 36 inches (915 × 915 mm)</t>
        </is>
      </c>
      <c r="G80" s="13" t="inlineStr">
        <is>
          <t>Conditional</t>
        </is>
      </c>
      <c r="H80" s="9" t="inlineStr">
        <is>
          <t>If the building also has Type B units, back the second bath for future 604.5 / 607.4 / 608 bars; skip if no Type B units exist</t>
        </is>
      </c>
      <c r="I80" s="11" t="inlineStr">
        <is>
          <t>Verified</t>
        </is>
      </c>
    </row>
    <row r="81" ht="104" customHeight="1">
      <c r="A81" s="12" t="inlineStr">
        <is>
          <t>14. Communication-feature overlay</t>
        </is>
      </c>
      <c r="B81" s="12" t="inlineStr">
        <is>
          <t>1106.2–1106.4 / 702.1</t>
        </is>
      </c>
      <c r="C81" s="12" t="inlineStr">
        <is>
          <t>Visible/audible notification</t>
        </is>
      </c>
      <c r="D81" s="12" t="inlineStr">
        <is>
          <t>Unit smoke: audible per NFPA 72 (106.2.4). Building alarm wiring extended into the unit near the unit smoke system. Visible appliances, where provided, comply with 702 (NFPA 72 installation; dwelling visibles may instead use 1106.2–1106.4.4). Same appliances may serve both; not used for other purposes</t>
        </is>
      </c>
      <c r="E81" s="12" t="inlineStr">
        <is>
          <t>Units also required to have communication features</t>
        </is>
      </c>
      <c r="F81" s="12" t="inlineStr">
        <is>
          <t>NFPA 72 numeric spacing is not in the attached Chapter 7 extract</t>
        </is>
      </c>
      <c r="G81" s="13" t="inlineStr">
        <is>
          <t>Conditional</t>
        </is>
      </c>
      <c r="H81" s="12" t="inlineStr">
        <is>
          <t>If the unit is a comms unit, extend alarm wiring and provide 702/1106 visibles; do not treat this as a substitute for 1102 geometry</t>
        </is>
      </c>
      <c r="I81" s="11" t="inlineStr">
        <is>
          <t>Verified</t>
        </is>
      </c>
    </row>
    <row r="82" ht="88" customHeight="1">
      <c r="A82" s="9" t="inlineStr">
        <is>
          <t>14. Communication-feature overlay</t>
        </is>
      </c>
      <c r="B82" s="9" t="inlineStr">
        <is>
          <t>1106.5.1–1106.5.2</t>
        </is>
      </c>
      <c r="C82" s="9" t="inlineStr">
        <is>
          <t>Doorbell and visitor ID</t>
        </is>
      </c>
      <c r="D82" s="9" t="inlineStr">
        <is>
          <t>Hard-wired electric doorbell; public-side button; audible tone in the unit; deactivation where visible doorbell signals are in sleeping areas. Visual visitor identification without opening the door; peepholes 180-degree minimum range of view</t>
        </is>
      </c>
      <c r="E82" s="9" t="inlineStr">
        <is>
          <t>Comms-unit primary entrance</t>
        </is>
      </c>
      <c r="F82" s="9" t="inlineStr">
        <is>
          <t>None stated</t>
        </is>
      </c>
      <c r="G82" s="13" t="inlineStr">
        <is>
          <t>Conditional</t>
        </is>
      </c>
      <c r="H82" s="9" t="inlineStr">
        <is>
          <t>Specify a hard-wired doorbell and a 180° viewer or equivalent at the Accessible comms-unit entry</t>
        </is>
      </c>
      <c r="I82" s="11" t="inlineStr">
        <is>
          <t>Verified</t>
        </is>
      </c>
    </row>
    <row r="83" ht="72" customHeight="1">
      <c r="A83" s="12" t="inlineStr">
        <is>
          <t>14. Communication-feature overlay</t>
        </is>
      </c>
      <c r="B83" s="12" t="inlineStr">
        <is>
          <t>1106.6–1106.7</t>
        </is>
      </c>
      <c r="C83" s="12" t="inlineStr">
        <is>
          <t>Remote entry voice/TTY</t>
        </is>
      </c>
      <c r="D83" s="12" t="inlineStr">
        <is>
          <t>If visitor voice is provided away from the unit door: public interface supports voice and TTY; unit interface has a telephone jack supporting voice and TTY. Closed-circuit systems use the same interfaces</t>
        </is>
      </c>
      <c r="E83" s="12" t="inlineStr">
        <is>
          <t>Remote entry communication</t>
        </is>
      </c>
      <c r="F83" s="12" t="inlineStr">
        <is>
          <t>None stated</t>
        </is>
      </c>
      <c r="G83" s="13" t="inlineStr">
        <is>
          <t>Conditional</t>
        </is>
      </c>
      <c r="H83" s="12" t="inlineStr">
        <is>
          <t>If a lobby video-phone exists, provide a TTY-capable jack in the comms unit</t>
        </is>
      </c>
      <c r="I83" s="11" t="inlineStr">
        <is>
          <t>Verified</t>
        </is>
      </c>
    </row>
  </sheetData>
  <mergeCells count="2">
    <mergeCell ref="A1:I1"/>
    <mergeCell ref="A2:I2"/>
  </mergeCells>
  <conditionalFormatting sqref="G5:G83">
    <cfRule type="expression" priority="1" dxfId="0">
      <formula>G5="Direct"</formula>
    </cfRule>
    <cfRule type="expression" priority="3" dxfId="1">
      <formula>G5="Conditional"</formula>
    </cfRule>
    <cfRule type="expression" priority="5" dxfId="2">
      <formula>G5="External verification"</formula>
    </cfRule>
    <cfRule type="expression" priority="7" dxfId="3">
      <formula>G5="Not typical"</formula>
    </cfRule>
    <cfRule type="expression" priority="9" dxfId="0">
      <formula>G5="Verified"</formula>
    </cfRule>
    <cfRule type="expression" priority="11" dxfId="4">
      <formula>G5="Verify source"</formula>
    </cfRule>
  </conditionalFormatting>
  <conditionalFormatting sqref="I5:I83">
    <cfRule type="expression" priority="2" dxfId="0">
      <formula>I5="Direct"</formula>
    </cfRule>
    <cfRule type="expression" priority="4" dxfId="1">
      <formula>I5="Conditional"</formula>
    </cfRule>
    <cfRule type="expression" priority="6" dxfId="2">
      <formula>I5="External verification"</formula>
    </cfRule>
    <cfRule type="expression" priority="8" dxfId="3">
      <formula>I5="Not typical"</formula>
    </cfRule>
    <cfRule type="expression" priority="10" dxfId="0">
      <formula>I5="Verified"</formula>
    </cfRule>
    <cfRule type="expression" priority="12" dxfId="4">
      <formula>I5="Verify source"</formula>
    </cfRule>
  </conditionalFormatting>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B8"/>
  <sheetViews>
    <sheetView showGridLines="0" workbookViewId="0">
      <pane ySplit="3" topLeftCell="A4" activePane="bottomLeft" state="frozen"/>
      <selection pane="bottomLeft" activeCell="A1" sqref="A1"/>
    </sheetView>
  </sheetViews>
  <sheetFormatPr baseColWidth="8" defaultRowHeight="15"/>
  <cols>
    <col width="8" customWidth="1" min="1" max="1"/>
    <col width="140" customWidth="1" min="2" max="2"/>
  </cols>
  <sheetData>
    <row r="1">
      <c r="A1" s="10" t="inlineStr">
        <is>
          <t>Project-use controls</t>
        </is>
      </c>
    </row>
    <row r="3" ht="28" customHeight="1">
      <c r="A3" s="3" t="inlineStr">
        <is>
          <t>#</t>
        </is>
      </c>
      <c r="B3" s="3" t="inlineStr">
        <is>
          <t>Control</t>
        </is>
      </c>
    </row>
    <row r="4" ht="28" customHeight="1">
      <c r="A4" s="7" t="n">
        <v>1</v>
      </c>
      <c r="B4" s="5" t="inlineStr">
        <is>
          <t>Use Verified rows as design-release geometry for Accessible-unit typicals.</t>
        </is>
      </c>
    </row>
    <row r="5" ht="40" customHeight="1">
      <c r="A5" s="8" t="n">
        <v>2</v>
      </c>
      <c r="B5" s="9" t="inlineStr">
        <is>
          <t>Do not use Verify source or External verification rows (flattened Tables 404.2.3.2 / 404.2.3.3 / 404.2.3.4 / 407.4.1 / 405.2 / 603.6, and 609.4 height) until a readable source is confirmed.</t>
        </is>
      </c>
    </row>
    <row r="6" ht="40" customHeight="1">
      <c r="A6" s="7" t="n">
        <v>3</v>
      </c>
      <c r="B6" s="5" t="inlineStr">
        <is>
          <t>Do not mix 2017 new 67 inches (1700 mm) turning or 52 inches (1320 mm) CFS with existing 60 inches (1525 mm) / 48 inches (1220 mm) on the same Direct typical.</t>
        </is>
      </c>
    </row>
    <row r="7" ht="28" customHeight="1">
      <c r="A7" s="8" t="n">
        <v>4</v>
      </c>
      <c r="B7" s="9" t="inlineStr">
        <is>
          <t>Do not apply Type A removable-cabinet baths or Type B 31 3/4 inches (805 mm) doors to Accessible units.</t>
        </is>
      </c>
    </row>
    <row r="8" ht="28" customHeight="1">
      <c r="A8" s="7" t="n">
        <v>5</v>
      </c>
      <c r="B8" s="5" t="inlineStr">
        <is>
          <t>Scoping (how many Accessible units, which storeys, communication-feature counts) remains SBC 201 Chapter 11.</t>
        </is>
      </c>
    </row>
  </sheetData>
  <mergeCells count="1">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E17"/>
  <sheetViews>
    <sheetView showGridLines="0" workbookViewId="0">
      <pane ySplit="3" topLeftCell="A4" activePane="bottomLeft" state="frozen"/>
      <selection pane="bottomLeft" activeCell="A1" sqref="A1"/>
    </sheetView>
  </sheetViews>
  <sheetFormatPr baseColWidth="8" defaultRowHeight="15"/>
  <cols>
    <col width="52" customWidth="1" min="1" max="1"/>
    <col width="18" customWidth="1" min="2" max="2"/>
    <col width="24" customWidth="1" min="3" max="3"/>
    <col width="18" customWidth="1" min="4" max="4"/>
    <col width="24" customWidth="1" min="5" max="5"/>
  </cols>
  <sheetData>
    <row r="1">
      <c r="A1" s="10" t="inlineStr">
        <is>
          <t>Coverage summary</t>
        </is>
      </c>
    </row>
    <row r="2" ht="48" customHeight="1">
      <c r="A2" s="17" t="inlineStr">
        <is>
          <t>numbered Chapter 11 code (1101–1102, 1106 overlay, 1102.11.1 → 1104.11.1), exceptions, charged companion paragraphs/footnotes from Chapters 3–9. INSIGHTS headings, FIGURE captions and commentary excluded. Type C (1105), public compartments (604.9–604.10), children’s (604.11), urinals (605), drinking fountains (602) and Chapter 10 omitted.</t>
        </is>
      </c>
    </row>
    <row r="4" ht="28" customHeight="1">
      <c r="A4" s="3" t="inlineStr">
        <is>
          <t>Metric</t>
        </is>
      </c>
      <c r="B4" s="3" t="inlineStr">
        <is>
          <t>Value</t>
        </is>
      </c>
    </row>
    <row r="5">
      <c r="A5" s="18" t="inlineStr">
        <is>
          <t>Inventory scope</t>
        </is>
      </c>
      <c r="B5" s="19" t="inlineStr">
        <is>
          <t>numbered Chapter 11 code (1101–1102, 1106 overlay, 1102.11.1 → 1104.11.1), exceptions, charged companion paragraphs/footnotes from Chapters 3–9. INSIGHTS headings, FIGURE captions and commentary excluded. Type C (1105), public compartments (604.9–604.10), children’s (604.11), urinals (605), drinking fountains (602) and Chapter 10 omitted.</t>
        </is>
      </c>
    </row>
    <row r="6">
      <c r="A6" s="18" t="inlineStr">
        <is>
          <t>Total independently checkable numeric records</t>
        </is>
      </c>
      <c r="B6" s="20" t="n">
        <v>241</v>
      </c>
    </row>
    <row r="7">
      <c r="A7" s="21" t="inlineStr">
        <is>
          <t>Verified</t>
        </is>
      </c>
      <c r="B7" s="22" t="n">
        <v>218</v>
      </c>
    </row>
    <row r="8">
      <c r="A8" s="23" t="inlineStr">
        <is>
          <t>Verify source</t>
        </is>
      </c>
      <c r="B8" s="24" t="inlineStr">
        <is>
          <t>23 (flattened table cells and 609.4 height)</t>
        </is>
      </c>
    </row>
    <row r="11">
      <c r="A11" s="6" t="inlineStr">
        <is>
          <t>Counts by top-level section</t>
        </is>
      </c>
    </row>
    <row r="12" ht="28" customHeight="1">
      <c r="A12" s="3" t="inlineStr">
        <is>
          <t>Top-level section</t>
        </is>
      </c>
      <c r="B12" s="3" t="inlineStr">
        <is>
          <t>Numeric records</t>
        </is>
      </c>
    </row>
    <row r="13" ht="28" customHeight="1">
      <c r="A13" s="12" t="inlineStr">
        <is>
          <t>1102 local + 1106 overlay</t>
        </is>
      </c>
      <c r="B13" s="25" t="n">
        <v>18</v>
      </c>
    </row>
    <row r="14" ht="28" customHeight="1">
      <c r="A14" s="9" t="inlineStr">
        <is>
          <t>303–309 building blocks</t>
        </is>
      </c>
      <c r="B14" s="26" t="n">
        <v>52</v>
      </c>
    </row>
    <row r="15" ht="40" customHeight="1">
      <c r="A15" s="12" t="inlineStr">
        <is>
          <t>403–404 routes/doors (paragraphs + footnotes; tables held)</t>
        </is>
      </c>
      <c r="B15" s="25" t="n">
        <v>48</v>
      </c>
    </row>
    <row r="16" ht="40" customHeight="1">
      <c r="A16" s="9" t="inlineStr">
        <is>
          <t>405 / 407–410 ramps and vertical (paragraphs + footnotes)</t>
        </is>
      </c>
      <c r="B16" s="26" t="n">
        <v>28</v>
      </c>
    </row>
    <row r="17" ht="28" customHeight="1">
      <c r="A17" s="12" t="inlineStr">
        <is>
          <t>506 / 603–611 / 804 / 902 / 905–906</t>
        </is>
      </c>
      <c r="B17" s="25" t="n">
        <v>95</v>
      </c>
    </row>
  </sheetData>
  <mergeCells count="3">
    <mergeCell ref="A2:E2"/>
    <mergeCell ref="A1:E1"/>
    <mergeCell ref="A11:B1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outlinePr summaryBelow="1" summaryRight="1"/>
    <pageSetUpPr fitToPage="1"/>
  </sheetPr>
  <dimension ref="A1:C13"/>
  <sheetViews>
    <sheetView showGridLines="0" workbookViewId="0">
      <pane ySplit="3" topLeftCell="A4" activePane="bottomLeft" state="frozen"/>
      <selection pane="bottomLeft" activeCell="A1" sqref="A1"/>
    </sheetView>
  </sheetViews>
  <sheetFormatPr baseColWidth="8" defaultRowHeight="15"/>
  <cols>
    <col width="42" customWidth="1" min="1" max="1"/>
    <col width="52" customWidth="1" min="2" max="2"/>
    <col width="72" customWidth="1" min="3" max="3"/>
  </cols>
  <sheetData>
    <row r="1" ht="24" customHeight="1">
      <c r="A1" s="10" t="inlineStr">
        <is>
          <t>Unresolved-source register</t>
        </is>
      </c>
    </row>
    <row r="2" ht="36" customHeight="1">
      <c r="A2" s="17" t="inlineStr">
        <is>
          <t>Hold points for Verify source records. No value in this register is a design-release figure.</t>
        </is>
      </c>
    </row>
    <row r="3" ht="28" customHeight="1">
      <c r="A3" s="3" t="inlineStr">
        <is>
          <t>Affected table / clause</t>
        </is>
      </c>
      <c r="B3" s="3" t="inlineStr">
        <is>
          <t>Why unverified</t>
        </is>
      </c>
      <c r="C3" s="3" t="inlineStr">
        <is>
          <t>Control note</t>
        </is>
      </c>
    </row>
    <row r="4" ht="40" customHeight="1">
      <c r="A4" s="12" t="inlineStr">
        <is>
          <t>Table 404.2.3.2</t>
        </is>
      </c>
      <c r="B4" s="12" t="inlineStr">
        <is>
          <t>Concatenated &lt;table&gt; blob; skill forbids reconstructing swinging-door manoeuvre cells</t>
        </is>
      </c>
      <c r="C4" s="12" t="inlineStr">
        <is>
          <t>Do not adopt front-pull/push or hinge/latch cells as design-release; footnotes 1–5 after the blob remain Verified</t>
        </is>
      </c>
    </row>
    <row r="5" ht="28" customHeight="1">
      <c r="A5" s="9" t="inlineStr">
        <is>
          <t>Table 404.2.3.3</t>
        </is>
      </c>
      <c r="B5" s="9" t="inlineStr">
        <is>
          <t>Flattened sliding/folding manoeuvre blob</t>
        </is>
      </c>
      <c r="C5" s="9" t="inlineStr">
        <is>
          <t>Confirm from a readable table; fn 1 (beyond pocket/hinge) is Verified</t>
        </is>
      </c>
    </row>
    <row r="6" ht="40" customHeight="1">
      <c r="A6" s="12" t="inlineStr">
        <is>
          <t>Table 404.2.3.4</t>
        </is>
      </c>
      <c r="B6" s="12" t="inlineStr">
        <is>
          <t>Flattened doorway-without-door blob</t>
        </is>
      </c>
      <c r="C6" s="12" t="inlineStr">
        <is>
          <t>Confirm from a readable table; existing front 48 inches (1220 mm) footnote is Verified</t>
        </is>
      </c>
    </row>
    <row r="7" ht="40" customHeight="1">
      <c r="A7" s="9" t="inlineStr">
        <is>
          <t>Table 405.2</t>
        </is>
      </c>
      <c r="B7" s="9" t="inlineStr">
        <is>
          <t>Flattened existing-ramp slope/rise blob</t>
        </is>
      </c>
      <c r="C7" s="9" t="inlineStr">
        <is>
          <t>New ramps use paragraph 1:12; do not adopt reconstructed existing-ramp cells; fn 1 (no steeper than 1:8) is Verified</t>
        </is>
      </c>
    </row>
    <row r="8" ht="40" customHeight="1">
      <c r="A8" s="12" t="inlineStr">
        <is>
          <t>Table 407.4.1</t>
        </is>
      </c>
      <c r="B8" s="12" t="inlineStr">
        <is>
          <t>Flattened elevator-car option blob</t>
        </is>
      </c>
      <c r="C8" s="12" t="inlineStr">
        <is>
          <t>Do not adopt reconstructed car cells; fn 1 7/8 inch (16 mm) and fn 2 36 / 60 inch (915 / 1525 mm) remain Verified</t>
        </is>
      </c>
    </row>
    <row r="9" ht="28" customHeight="1">
      <c r="A9" s="9" t="inlineStr">
        <is>
          <t>Table 603.6</t>
        </is>
      </c>
      <c r="B9" s="9" t="inlineStr">
        <is>
          <t>Flattened towel-dispenser/dryer reach-depth blob</t>
        </is>
      </c>
      <c r="C9" s="9" t="inlineStr">
        <is>
          <t>Confirm dispenser/dryer reach from a readable table</t>
        </is>
      </c>
    </row>
    <row r="10" ht="40" customHeight="1">
      <c r="A10" s="12" t="inlineStr">
        <is>
          <t>609.4</t>
        </is>
      </c>
      <c r="B10" s="12" t="inlineStr">
        <is>
          <t>Adult horizontal grab-bar height paragraph missing/garbled in the Chapter 6 extract</t>
        </is>
      </c>
      <c r="C10" s="12" t="inlineStr">
        <is>
          <t>Confirm adult AFF from a readable 609.4; do not back-fill from memory or CS.md</t>
        </is>
      </c>
    </row>
    <row r="11" ht="40" customHeight="1">
      <c r="A11" s="9" t="inlineStr">
        <is>
          <t>Figure 304.3.1.1 shaded overlap</t>
        </is>
      </c>
      <c r="B11" s="9" t="inlineStr">
        <is>
          <t>Overlap zone is figure-defined beyond the 10-inch (255 mm) cap</t>
        </is>
      </c>
      <c r="C11" s="9" t="inlineStr">
        <is>
          <t>Treat the shaded limit as a figure dependency</t>
        </is>
      </c>
    </row>
    <row r="12" ht="40" customHeight="1">
      <c r="A12" s="12" t="inlineStr">
        <is>
          <t>702 / NFPA 72</t>
        </is>
      </c>
      <c r="B12" s="12" t="inlineStr">
        <is>
          <t>Chapter 7 names NFPA 72 without appliance spacing millimetres</t>
        </is>
      </c>
      <c r="C12" s="12" t="inlineStr">
        <is>
          <t>Visible-appliance layout remains an NFPA 72 companion</t>
        </is>
      </c>
    </row>
    <row r="13" ht="28" customHeight="1">
      <c r="A13" s="9" t="inlineStr">
        <is>
          <t>ASME A17.1 / BHMA A156 / AAMA 513</t>
        </is>
      </c>
      <c r="B13" s="9" t="inlineStr">
        <is>
          <t>Named only</t>
        </is>
      </c>
      <c r="C13" s="9" t="inlineStr">
        <is>
          <t>Do not import unstated car-sill, power-door or window-test values</t>
        </is>
      </c>
    </row>
  </sheetData>
  <mergeCells count="2">
    <mergeCell ref="A1:C1"/>
    <mergeCell ref="A2:C2"/>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Cursor Grok 4.6</dc:creator>
  <dc:title xmlns:dc="http://purl.org/dc/elements/1.1/">ICC A117.1 Chapter 11 Dwelling Units and Sleeping Units — Accessible Dimensional Requirements Matrix (2017)</dc:title>
  <dc:description xmlns:dc="http://purl.org/dc/elements/1.1/">Source-only architectural advisory matrix. Not a stamped compliance document.</dc:description>
  <dc:subject xmlns:dc="http://purl.org/dc/elements/1.1/">ICC A117.1 Chapter 11 Dwelling Units and Sleeping Units — Accessible Dimensional Requirements Matrix (2017)</dc:subject>
  <dcterms:created xmlns:dcterms="http://purl.org/dc/terms/" xmlns:xsi="http://www.w3.org/2001/XMLSchema-instance" xsi:type="dcterms:W3CDTF">2026-08-28T04:43:39Z</dcterms:created>
  <dcterms:modified xmlns:dcterms="http://purl.org/dc/terms/" xmlns:xsi="http://www.w3.org/2001/XMLSchema-instance" xsi:type="dcterms:W3CDTF">2026-08-28T04:43:39Z</dcterms:modified>
</cp:coreProperties>
</file>