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Cover" sheetId="1" state="visible" r:id="rId1"/>
    <sheet xmlns:r="http://schemas.openxmlformats.org/officeDocument/2006/relationships" name="02 Legends" sheetId="2" state="visible" r:id="rId2"/>
    <sheet xmlns:r="http://schemas.openxmlformats.org/officeDocument/2006/relationships" name="03 Gap Register" sheetId="3" state="visible" r:id="rId3"/>
    <sheet xmlns:r="http://schemas.openxmlformats.org/officeDocument/2006/relationships" name="04 Requirements Matrix" sheetId="4" state="visible" r:id="rId4"/>
    <sheet xmlns:r="http://schemas.openxmlformats.org/officeDocument/2006/relationships" name="05 Project-use Controls" sheetId="5" state="visible" r:id="rId5"/>
    <sheet xmlns:r="http://schemas.openxmlformats.org/officeDocument/2006/relationships" name="06 Coverage Summary" sheetId="6" state="visible" r:id="rId6"/>
    <sheet xmlns:r="http://schemas.openxmlformats.org/officeDocument/2006/relationships" name="07 Unresolved Source" sheetId="7" state="visible" r:id="rId7"/>
  </sheets>
  <definedNames>
    <definedName name="_xlnm.Print_Titles" localSheetId="0">'01 Cover'!$1:$2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B365D"/>
      <sz val="16"/>
    </font>
    <font>
      <name val="Calibri"/>
      <b val="1"/>
      <color rgb="00FFFFFF"/>
      <sz val="10"/>
    </font>
    <font>
      <name val="Calibri"/>
      <b val="1"/>
      <color rgb="001B365D"/>
      <sz val="10"/>
    </font>
    <font>
      <name val="Calibri"/>
      <color rgb="00222222"/>
      <sz val="10"/>
    </font>
    <font>
      <name val="Calibri"/>
      <b val="1"/>
      <color rgb="001B365D"/>
      <sz val="12"/>
    </font>
    <font>
      <name val="Calibri"/>
      <b val="1"/>
      <color rgb="00006100"/>
      <sz val="10"/>
    </font>
    <font>
      <name val="Calibri"/>
      <b val="1"/>
      <color rgb="007F6000"/>
      <sz val="10"/>
    </font>
    <font>
      <name val="Calibri"/>
      <b val="1"/>
      <color rgb="00595959"/>
      <sz val="10"/>
    </font>
    <font>
      <name val="Calibri"/>
      <b val="1"/>
      <color rgb="001F4E79"/>
      <sz val="10"/>
    </font>
    <font>
      <name val="Calibri"/>
      <b val="1"/>
      <color rgb="00C65911"/>
      <sz val="10"/>
    </font>
  </fonts>
  <fills count="12">
    <fill>
      <patternFill/>
    </fill>
    <fill>
      <patternFill patternType="gray125"/>
    </fill>
    <fill>
      <patternFill patternType="solid">
        <fgColor rgb="007B2D26"/>
      </patternFill>
    </fill>
    <fill>
      <patternFill patternType="solid">
        <fgColor rgb="001B365D"/>
      </patternFill>
    </fill>
    <fill>
      <patternFill patternType="solid">
        <fgColor rgb="00F4F6F8"/>
      </patternFill>
    </fill>
    <fill>
      <patternFill patternType="solid">
        <fgColor rgb="00EEF2F6"/>
      </patternFill>
    </fill>
    <fill>
      <patternFill patternType="solid">
        <fgColor rgb="00FFFFFF"/>
      </patternFill>
    </fill>
    <fill>
      <patternFill patternType="solid">
        <fgColor rgb="00C6EFCE"/>
      </patternFill>
    </fill>
    <fill>
      <patternFill patternType="solid">
        <fgColor rgb="00FFF2CC"/>
      </patternFill>
    </fill>
    <fill>
      <patternFill patternType="solid">
        <fgColor rgb="00E7E6E6"/>
      </patternFill>
    </fill>
    <fill>
      <patternFill patternType="solid">
        <fgColor rgb="00DDEBF7"/>
      </patternFill>
    </fill>
    <fill>
      <patternFill patternType="solid">
        <fgColor rgb="00FCE4D6"/>
      </patternFill>
    </fill>
  </fills>
  <borders count="2">
    <border>
      <left/>
      <right/>
      <top/>
      <bottom/>
      <diagonal/>
    </border>
    <border>
      <left style="thin">
        <color rgb="00C5CDD6"/>
      </left>
      <right style="thin">
        <color rgb="00C5CDD6"/>
      </right>
      <top style="thin">
        <color rgb="00C5CDD6"/>
      </top>
      <bottom style="thin">
        <color rgb="00C5CDD6"/>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0" borderId="1" applyAlignment="1" pivotButton="0" quotePrefix="0" xfId="0">
      <alignment vertical="top" wrapText="1"/>
    </xf>
    <xf numFmtId="0" fontId="5" fillId="0" borderId="0" pivotButton="0" quotePrefix="0" xfId="0"/>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vertical="top" wrapText="1"/>
    </xf>
    <xf numFmtId="0" fontId="1" fillId="0" borderId="0" pivotButton="0" quotePrefix="0" xfId="0"/>
    <xf numFmtId="0" fontId="6" fillId="7" borderId="1" applyAlignment="1" pivotButton="0" quotePrefix="0" xfId="0">
      <alignment horizontal="center" vertical="center" wrapText="1"/>
    </xf>
    <xf numFmtId="0" fontId="4" fillId="6" borderId="1" applyAlignment="1" pivotButton="0" quotePrefix="0" xfId="0">
      <alignment vertical="top"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4" fillId="0" borderId="0" applyAlignment="1" pivotButton="0" quotePrefix="0" xfId="0">
      <alignment vertical="top" wrapText="1"/>
    </xf>
    <xf numFmtId="0" fontId="3" fillId="0" borderId="1" pivotButton="0" quotePrefix="0" xfId="0"/>
    <xf numFmtId="0" fontId="4" fillId="0" borderId="1" pivotButton="0" quotePrefix="0" xfId="0"/>
    <xf numFmtId="0" fontId="4" fillId="0" borderId="1" applyAlignment="1" pivotButton="0" quotePrefix="0" xfId="0">
      <alignment horizontal="center" vertical="center"/>
    </xf>
    <xf numFmtId="0" fontId="3" fillId="7" borderId="1" pivotButton="0" quotePrefix="0" xfId="0"/>
    <xf numFmtId="0" fontId="4" fillId="7" borderId="1" applyAlignment="1" pivotButton="0" quotePrefix="0" xfId="0">
      <alignment horizontal="center" vertical="center"/>
    </xf>
    <xf numFmtId="0" fontId="3" fillId="11" borderId="1" pivotButton="0" quotePrefix="0" xfId="0"/>
    <xf numFmtId="0" fontId="4" fillId="11" borderId="1" applyAlignment="1" pivotButton="0" quotePrefix="0" xfId="0">
      <alignment horizontal="center" vertical="center"/>
    </xf>
    <xf numFmtId="1" fontId="4" fillId="6" borderId="1" applyAlignment="1" pivotButton="0" quotePrefix="0" xfId="0">
      <alignment vertical="top" wrapText="1"/>
    </xf>
    <xf numFmtId="1" fontId="4" fillId="5" borderId="1" applyAlignment="1" pivotButton="0" quotePrefix="0" xfId="0">
      <alignment vertical="top" wrapText="1"/>
    </xf>
  </cellXfs>
  <cellStyles count="1">
    <cellStyle name="Normal" xfId="0" builtinId="0" hidden="0"/>
  </cellStyles>
  <dxfs count="5">
    <dxf>
      <font>
        <name val="Calibri"/>
        <b val="1"/>
        <color rgb="00006100"/>
        <sz val="10"/>
      </font>
      <fill>
        <patternFill patternType="solid">
          <fgColor rgb="00C6EFCE"/>
        </patternFill>
      </fill>
    </dxf>
    <dxf>
      <font>
        <name val="Calibri"/>
        <b val="1"/>
        <color rgb="007F6000"/>
        <sz val="10"/>
      </font>
      <fill>
        <patternFill patternType="solid">
          <fgColor rgb="00FFF2CC"/>
        </patternFill>
      </fill>
    </dxf>
    <dxf>
      <font>
        <name val="Calibri"/>
        <b val="1"/>
        <color rgb="001F4E79"/>
        <sz val="10"/>
      </font>
      <fill>
        <patternFill patternType="solid">
          <fgColor rgb="00DDEBF7"/>
        </patternFill>
      </fill>
    </dxf>
    <dxf>
      <font>
        <name val="Calibri"/>
        <b val="1"/>
        <color rgb="00595959"/>
        <sz val="10"/>
      </font>
      <fill>
        <patternFill patternType="solid">
          <fgColor rgb="00E7E6E6"/>
        </patternFill>
      </fill>
    </dxf>
    <dxf>
      <font>
        <name val="Calibri"/>
        <b val="1"/>
        <color rgb="00C65911"/>
        <sz val="10"/>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Numeric records by top-level section</a:t>
            </a:r>
          </a:p>
        </rich>
      </tx>
    </title>
    <plotArea>
      <barChart>
        <barDir val="bar"/>
        <grouping val="clustered"/>
        <ser>
          <idx val="0"/>
          <order val="0"/>
          <tx>
            <strRef>
              <f>'06 Coverage Summary'!B12</f>
            </strRef>
          </tx>
          <spPr>
            <a:ln xmlns:a="http://schemas.openxmlformats.org/drawingml/2006/main">
              <a:prstDash val="solid"/>
            </a:ln>
          </spPr>
          <cat>
            <numRef>
              <f>'06 Coverage Summary'!$A$13:$A$17</f>
            </numRef>
          </cat>
          <val>
            <numRef>
              <f>'06 Coverage Summary'!$B$13:$B$17</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Records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Section</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overMetadata" displayName="CoverMetadata" ref="A4:B14" headerRowCount="1">
  <autoFilter ref="A4:B14"/>
  <tableColumns count="2">
    <tableColumn id="1" name="Field"/>
    <tableColumn id="2" name="Value"/>
  </tableColumns>
  <tableStyleInfo name="TableStyleMedium2" showRowStripes="0" showColumnStripes="0"/>
</table>
</file>

<file path=xl/tables/table2.xml><?xml version="1.0" encoding="utf-8"?>
<table xmlns="http://schemas.openxmlformats.org/spreadsheetml/2006/main" id="2" name="CoverAssumptions" displayName="CoverAssumptions" ref="A17:B23" headerRowCount="1">
  <autoFilter ref="A17:B23"/>
  <tableColumns count="2">
    <tableColumn id="1" name="#"/>
    <tableColumn id="2" name="Assumption"/>
  </tableColumns>
  <tableStyleInfo name="TableStyleMedium2" showRowStripes="0" showColumnStripes="0"/>
</table>
</file>

<file path=xl/tables/table3.xml><?xml version="1.0" encoding="utf-8"?>
<table xmlns="http://schemas.openxmlformats.org/spreadsheetml/2006/main" id="3" name="Applicability" displayName="Applicability" ref="A4:B8" headerRowCount="1">
  <autoFilter ref="A4:B8"/>
  <tableColumns count="2">
    <tableColumn id="1" name="Status"/>
    <tableColumn id="2" name="Meaning"/>
  </tableColumns>
  <tableStyleInfo name="TableStyleMedium2" showRowStripes="0" showColumnStripes="0"/>
</table>
</file>

<file path=xl/tables/table4.xml><?xml version="1.0" encoding="utf-8"?>
<table xmlns="http://schemas.openxmlformats.org/spreadsheetml/2006/main" id="4" name="Sourceconfidence" displayName="Sourceconfidence" ref="A11:B13" headerRowCount="1">
  <autoFilter ref="A11:B13"/>
  <tableColumns count="2">
    <tableColumn id="1" name="Status"/>
    <tableColumn id="2" name="Meaning"/>
  </tableColumns>
  <tableStyleInfo name="TableStyleMedium2" showRowStripes="0" showColumnStripes="0"/>
</table>
</file>

<file path=xl/tables/table5.xml><?xml version="1.0" encoding="utf-8"?>
<table xmlns="http://schemas.openxmlformats.org/spreadsheetml/2006/main" id="5" name="GapRegister" displayName="GapRegister" ref="A3:D10" headerRowCount="1">
  <autoFilter ref="A3:D10"/>
  <tableColumns count="4">
    <tableColumn id="1" name="Decision / gap"/>
    <tableColumn id="2" name="Current project basis"/>
    <tableColumn id="3" name="Why it controls Chapter 11 application"/>
    <tableColumn id="4" name="Required project action"/>
  </tableColumns>
  <tableStyleInfo name="TableStyleMedium2" showRowStripes="0" showColumnStripes="0"/>
</table>
</file>

<file path=xl/tables/table6.xml><?xml version="1.0" encoding="utf-8"?>
<table xmlns="http://schemas.openxmlformats.org/spreadsheetml/2006/main" id="6" name="RequirementsMatrix" displayName="RequirementsMatrix" ref="A4:I47" headerRowCount="1">
  <autoFilter ref="A4:I47"/>
  <tableColumns count="9">
    <tableColumn id="1" name="Section"/>
    <tableColumn id="2" name="Cite"/>
    <tableColumn id="3" name="Component / check"/>
    <tableColumn id="4" name="Exact source requirement / value"/>
    <tableColumn id="5" name="Trigger / condition"/>
    <tableColumn id="6" name="Exceptions / branch"/>
    <tableColumn id="7" name="Type B status"/>
    <tableColumn id="8" name="Design action"/>
    <tableColumn id="9" name="Source confidence"/>
  </tableColumns>
  <tableStyleInfo name="TableStyleMedium2" showRowStripes="0" showColumnStripes="0"/>
</table>
</file>

<file path=xl/tables/table7.xml><?xml version="1.0" encoding="utf-8"?>
<table xmlns="http://schemas.openxmlformats.org/spreadsheetml/2006/main" id="7" name="ProjectUseControls" displayName="ProjectUseControls" ref="A3:B8" headerRowCount="1">
  <autoFilter ref="A3:B8"/>
  <tableColumns count="2">
    <tableColumn id="1" name="#"/>
    <tableColumn id="2" name="Control"/>
  </tableColumns>
  <tableStyleInfo name="TableStyleMedium2" showRowStripes="0" showColumnStripes="0"/>
</table>
</file>

<file path=xl/tables/table8.xml><?xml version="1.0" encoding="utf-8"?>
<table xmlns="http://schemas.openxmlformats.org/spreadsheetml/2006/main" id="8" name="CoverageKPIs" displayName="CoverageKPIs" ref="A4:B7" headerRowCount="1">
  <autoFilter ref="A4:B7"/>
  <tableColumns count="2">
    <tableColumn id="1" name="Metric"/>
    <tableColumn id="2" name="Value"/>
  </tableColumns>
  <tableStyleInfo name="TableStyleMedium2" showRowStripes="0" showColumnStripes="0"/>
</table>
</file>

<file path=xl/tables/table9.xml><?xml version="1.0" encoding="utf-8"?>
<table xmlns="http://schemas.openxmlformats.org/spreadsheetml/2006/main" id="9" name="CoverageBySection" displayName="CoverageBySection" ref="A12:B17" headerRowCount="1">
  <autoFilter ref="A12:B17"/>
  <tableColumns count="2">
    <tableColumn id="1" name="Top-level section"/>
    <tableColumn id="2" name="Numeric records"/>
  </tableColumns>
  <tableStyleInfo name="TableStyleMedium2" showRowStripes="0" showColumnStripes="0"/>
</table>
</file>

<file path=xl/tables/table10.xml><?xml version="1.0" encoding="utf-8"?>
<table xmlns="http://schemas.openxmlformats.org/spreadsheetml/2006/main" id="10" name="UnresolvedSourceRegister" displayName="UnresolvedSourceRegister" ref="A3:C10" headerRowCount="1">
  <autoFilter ref="A3:C10"/>
  <tableColumns count="3">
    <tableColumn id="1" name="Affected table / clause"/>
    <tableColumn id="2" name="Why unverified"/>
    <tableColumn id="3" name="Control note"/>
  </tableColumns>
  <tableStyleInfo name="TableStyleMedium2"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_rels/sheet3.xml.rels><Relationships xmlns="http://schemas.openxmlformats.org/package/2006/relationships"><Relationship Type="http://schemas.openxmlformats.org/officeDocument/2006/relationships/table" Target="/xl/tables/table5.xml" Id="rId1"/></Relationships>
</file>

<file path=xl/worksheets/_rels/sheet4.xml.rels><Relationships xmlns="http://schemas.openxmlformats.org/package/2006/relationships"><Relationship Type="http://schemas.openxmlformats.org/officeDocument/2006/relationships/table" Target="/xl/tables/table6.xml" Id="rId1"/></Relationships>
</file>

<file path=xl/worksheets/_rels/sheet5.xml.rels><Relationships xmlns="http://schemas.openxmlformats.org/package/2006/relationships"><Relationship Type="http://schemas.openxmlformats.org/officeDocument/2006/relationships/table" Target="/xl/tables/table7.xml" Id="rId1"/></Relationships>
</file>

<file path=xl/worksheets/_rels/sheet6.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8.xml" Id="rId2"/><Relationship Type="http://schemas.openxmlformats.org/officeDocument/2006/relationships/table" Target="/xl/tables/table9.xml" Id="rId3"/></Relationships>
</file>

<file path=xl/worksheets/_rels/sheet7.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fitToPage="1"/>
  </sheetPr>
  <dimension ref="A1:B23"/>
  <sheetViews>
    <sheetView showGridLines="0"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36" customHeight="1">
      <c r="A1" s="1" t="inlineStr">
        <is>
          <t>ICC A117.1 Chapter 11 Dwelling Units and Sleeping Units — Type B Dimensional Requirements Matrix (2017)</t>
        </is>
      </c>
    </row>
    <row r="2" ht="36" customHeight="1">
      <c r="A2" s="2" t="inlineStr">
        <is>
          <t>Source-only architectural advisory matrix for design coordination. It is not a stamped compliance statement, accessibility consultant report, SCD NOC, SBPS approval, legal opinion, or permission to construct.</t>
        </is>
      </c>
    </row>
    <row r="4" ht="28" customHeight="1">
      <c r="A4" s="3" t="inlineStr">
        <is>
          <t>Field</t>
        </is>
      </c>
      <c r="B4" s="3" t="inlineStr">
        <is>
          <t>Value</t>
        </is>
      </c>
    </row>
    <row r="5" ht="56" customHeight="1">
      <c r="A5" s="4" t="inlineStr">
        <is>
          <t>Project basis</t>
        </is>
      </c>
      <c r="B5" s="5" t="inlineStr">
        <is>
          <t>Mixed-use tall building containing Group R-1 (hotel) with Group R-2 residential sharing podium, parking and routes. An occupied floor is stated to be more than 23 m above the relevant reference level. This matrix filters ICC A117.1 Chapter 11 for Type B units (Section 1104).</t>
        </is>
      </c>
    </row>
    <row r="6" ht="28" customHeight="1">
      <c r="A6" s="4" t="inlineStr">
        <is>
          <t>Unit type</t>
        </is>
      </c>
      <c r="B6" s="5" t="inlineStr">
        <is>
          <t>Type B (1104). Accessible (1102) and Type A (1103) interiors are omitted from this file. Type C (1105) is omitted.</t>
        </is>
      </c>
    </row>
    <row r="7" ht="40" customHeight="1">
      <c r="A7" s="4" t="inlineStr">
        <is>
          <t>Deliverable tier</t>
        </is>
      </c>
      <c r="B7" s="5" t="inlineStr">
        <is>
          <t>Project-use matrices in Sections 4–13 (design-check rows, not pasted inventory), plus project-use controls, a coverage summary and an unresolved-source register.</t>
        </is>
      </c>
    </row>
    <row r="8" ht="56" customHeight="1">
      <c r="A8" s="4" t="inlineStr">
        <is>
          <t>Code/source basis</t>
        </is>
      </c>
      <c r="B8" s="5" t="inlineStr">
        <is>
          <t>ICC A117.1 (2017), Chapter 11, source file Reference\2017 ICC A117_1 Accessible and Usable Buildings and Facilities\source_reference\Chapter_11 — DWELLING UNITS AND SLEEPING UNITS.txt. Companion numbers inlined from the attached 2017 Chapter 1–10 source_reference extracts where 1104 charges those sections.</t>
        </is>
      </c>
    </row>
    <row r="9" ht="40" customHeight="1">
      <c r="A9" s="4" t="inlineStr">
        <is>
          <t>Extraction audit</t>
        </is>
      </c>
      <c r="B9" s="5" t="inlineStr">
        <is>
          <t>Internal inventory: 198 independently checkable numeric records (186 Verified, 12 Verify source). Unresolved OCR/flattened tables are listed in the register and are not design-release values.</t>
        </is>
      </c>
    </row>
    <row r="10" ht="28" customHeight="1">
      <c r="A10" s="4" t="inlineStr">
        <is>
          <t>Inspecting model</t>
        </is>
      </c>
      <c r="B10" s="5" t="inlineStr">
        <is>
          <t>Cursor Grok 4.6.</t>
        </is>
      </c>
    </row>
    <row r="11" ht="28" customHeight="1">
      <c r="A11" s="4" t="inlineStr">
        <is>
          <t>Prepared</t>
        </is>
      </c>
      <c r="B11" s="5" t="inlineStr">
        <is>
          <t>2026-08-28.</t>
        </is>
      </c>
    </row>
    <row r="12" ht="40" customHeight="1">
      <c r="A12" s="4" t="inlineStr">
        <is>
          <t>Status</t>
        </is>
      </c>
      <c r="B12" s="5" t="inlineStr">
        <is>
          <t>Source-only architectural advisory matrix for design coordination. It is not a stamped compliance statement, accessibility consultant report, SCD NOC, SBPS approval, legal opinion, or permission to construct.</t>
        </is>
      </c>
    </row>
    <row r="13" ht="40" customHeight="1">
      <c r="A13" s="4" t="inlineStr">
        <is>
          <t>Scoping companion</t>
        </is>
      </c>
      <c r="B13" s="5" t="inlineStr">
        <is>
          <t>Counts and which units must be Type B are SBC 201 Chapter 11. R-1 Type B applies only where units are intended to be occupied as a residence. This file does not import SBC quotas.</t>
        </is>
      </c>
    </row>
    <row r="14" ht="56" customHeight="1">
      <c r="A14" s="4" t="inlineStr">
        <is>
          <t>Edition gap</t>
        </is>
      </c>
      <c r="B14" s="5" t="inlineStr">
        <is>
          <t>SBC 201 Chapter 35 lists ICC A117.1—09. Charging SBC 1102.1 has no year. This extract is 2017. Type B interiors already use reduced CFS and existing-style route exceptions; do not “upgrade” them to Accessible/Type A 2017 turning or 404 manoeuvring. Do not treat 2017 millimetres as the legal SBC minimum.</t>
        </is>
      </c>
    </row>
    <row r="16">
      <c r="A16" s="6" t="inlineStr">
        <is>
          <t>Scope and assumptions</t>
        </is>
      </c>
    </row>
    <row r="17" ht="28" customHeight="1">
      <c r="A17" s="3" t="inlineStr">
        <is>
          <t>#</t>
        </is>
      </c>
      <c r="B17" s="3" t="inlineStr">
        <is>
          <t>Assumption</t>
        </is>
      </c>
    </row>
    <row r="18" ht="28" customHeight="1">
      <c r="A18" s="7" t="n">
        <v>1</v>
      </c>
      <c r="B18" s="5" t="inlineStr">
        <is>
          <t>Type B is Direct for R-2 apartments. R-1 hotel Type B is Conditional unless units are occupied as a residence.</t>
        </is>
      </c>
    </row>
    <row r="19" ht="40" customHeight="1">
      <c r="A19" s="8" t="n">
        <v>2</v>
      </c>
      <c r="B19" s="9" t="inlineStr">
        <is>
          <t>New construction is assumed for building-wide elements. Type B interior route exceptions in 1104.4.1 already print existing-style 180°/90°/passing numbers; those printed 1104 exceptions are Direct for Type B interiors.</t>
        </is>
      </c>
    </row>
    <row r="20" ht="28" customHeight="1">
      <c r="A20" s="7" t="n">
        <v>3</v>
      </c>
      <c r="B20" s="5" t="inlineStr">
        <is>
          <t>Do not draw Type B interiors with Accessible/Type A 404 latch-side manoeuvre or 304 room-wide turning.</t>
        </is>
      </c>
    </row>
    <row r="21" ht="28" customHeight="1">
      <c r="A21" s="8" t="n">
        <v>4</v>
      </c>
      <c r="B21" s="9" t="inlineStr">
        <is>
          <t>Type B CFS is 48 × 30 inches (1220 × 760 mm) (1104.1.1), not 2017 new 52 in.</t>
        </is>
      </c>
    </row>
    <row r="22" ht="40" customHeight="1">
      <c r="A22" s="7" t="n">
        <v>5</v>
      </c>
      <c r="B22" s="5" t="inlineStr">
        <is>
          <t>Interior user-passage clear opening is 31 3/4 inches (805 mm). Primary entrance still charges 404, with Type B front-approach 48 inches (1220 mm) exceptions.</t>
        </is>
      </c>
    </row>
    <row r="23" ht="28" customHeight="1">
      <c r="A23" s="8" t="n">
        <v>6</v>
      </c>
      <c r="B23" s="9" t="inlineStr">
        <is>
          <t>FIGURE captions are dependencies. Flattened &lt;table&gt; blobs are not reconstructed as Verified cells.</t>
        </is>
      </c>
    </row>
  </sheetData>
  <mergeCells count="3">
    <mergeCell ref="A16:B16"/>
    <mergeCell ref="A2:B2"/>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fitToPage="1"/>
  </sheetPr>
  <dimension ref="A1:B13"/>
  <sheetViews>
    <sheetView showGridLines="0" workbookViewId="0">
      <pane ySplit="2" topLeftCell="A3" activePane="bottomLeft" state="frozen"/>
      <selection pane="bottomLeft" activeCell="A1" sqref="A1"/>
    </sheetView>
  </sheetViews>
  <sheetFormatPr baseColWidth="8" defaultRowHeight="15"/>
  <cols>
    <col width="28" customWidth="1" min="1" max="1"/>
    <col width="100" customWidth="1" min="2" max="2"/>
  </cols>
  <sheetData>
    <row r="1">
      <c r="A1" s="10" t="inlineStr">
        <is>
          <t>Legends</t>
        </is>
      </c>
    </row>
    <row r="3">
      <c r="A3" s="6" t="inlineStr">
        <is>
          <t>Applicability</t>
        </is>
      </c>
    </row>
    <row r="4" ht="28" customHeight="1">
      <c r="A4" s="3" t="inlineStr">
        <is>
          <t>Status</t>
        </is>
      </c>
      <c r="B4" s="3" t="inlineStr">
        <is>
          <t>Meaning</t>
        </is>
      </c>
    </row>
    <row r="5" ht="28" customHeight="1">
      <c r="A5" s="11" t="inlineStr">
        <is>
          <t>Direct</t>
        </is>
      </c>
      <c r="B5" s="12" t="inlineStr">
        <is>
          <t>Expected to govern Type B unit interiors once geometry is confirmed (R-2 typical).</t>
        </is>
      </c>
    </row>
    <row r="6" ht="40" customHeight="1">
      <c r="A6" s="13" t="inlineStr">
        <is>
          <t>Conditional</t>
        </is>
      </c>
      <c r="B6" s="9" t="inlineStr">
        <is>
          <t>Governs only if the stated feature, R-1 residential occupancy, existing-building branch, in-unit ramp/lift/elevator, or communication overlay exists.</t>
        </is>
      </c>
    </row>
    <row r="7" ht="28" customHeight="1">
      <c r="A7" s="14" t="inlineStr">
        <is>
          <t>Not typical</t>
        </is>
      </c>
      <c r="B7" s="12" t="inlineStr">
        <is>
          <t>Unrelated unit-type-only rule; omitted unless the gap register already opened that use.</t>
        </is>
      </c>
    </row>
    <row r="8" ht="28" customHeight="1">
      <c r="A8" s="15" t="inlineStr">
        <is>
          <t>External verification</t>
        </is>
      </c>
      <c r="B8" s="9" t="inlineStr">
        <is>
          <t>A figure is missing, a flattened table is unread, or AHJ/edition must be confirmed first.</t>
        </is>
      </c>
    </row>
    <row r="10">
      <c r="A10" s="6" t="inlineStr">
        <is>
          <t>Source confidence</t>
        </is>
      </c>
    </row>
    <row r="11" ht="28" customHeight="1">
      <c r="A11" s="3" t="inlineStr">
        <is>
          <t>Status</t>
        </is>
      </c>
      <c r="B11" s="3" t="inlineStr">
        <is>
          <t>Meaning</t>
        </is>
      </c>
    </row>
    <row r="12" ht="28" customHeight="1">
      <c r="A12" s="11" t="inlineStr">
        <is>
          <t>Verified</t>
        </is>
      </c>
      <c r="B12" s="12" t="inlineStr">
        <is>
          <t>Unambiguous mandatory source text or readable footnote after a table blob.</t>
        </is>
      </c>
    </row>
    <row r="13" ht="28" customHeight="1">
      <c r="A13" s="16" t="inlineStr">
        <is>
          <t>Verify source</t>
        </is>
      </c>
      <c r="B13" s="9" t="inlineStr">
        <is>
          <t>OCR, flattened table, page-split, or footnote attachment is unresolved. Not a design-release value.</t>
        </is>
      </c>
    </row>
  </sheetData>
  <mergeCells count="3">
    <mergeCell ref="A3:B3"/>
    <mergeCell ref="A10:B10"/>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fitToPage="1"/>
  </sheetPr>
  <dimension ref="A1:D10"/>
  <sheetViews>
    <sheetView showGridLines="0" workbookViewId="0">
      <pane ySplit="3" topLeftCell="A4" activePane="bottomLeft" state="frozen"/>
      <selection pane="bottomLeft" activeCell="A1" sqref="A1"/>
    </sheetView>
  </sheetViews>
  <sheetFormatPr baseColWidth="8" defaultRowHeight="15"/>
  <cols>
    <col width="32" customWidth="1" min="1" max="1"/>
    <col width="42" customWidth="1" min="2" max="2"/>
    <col width="52" customWidth="1" min="3" max="3"/>
    <col width="48" customWidth="1" min="4" max="4"/>
  </cols>
  <sheetData>
    <row r="1" ht="24" customHeight="1">
      <c r="A1" s="10" t="inlineStr">
        <is>
          <t>Project decision and gap register</t>
        </is>
      </c>
    </row>
    <row r="2" ht="36" customHeight="1">
      <c r="A2" s="17" t="inlineStr">
        <is>
          <t>Decisions that control how ICC A117.1 Chapter 11 is applied to this unit type.</t>
        </is>
      </c>
    </row>
    <row r="3" ht="28" customHeight="1">
      <c r="A3" s="3" t="inlineStr">
        <is>
          <t>Decision / gap</t>
        </is>
      </c>
      <c r="B3" s="3" t="inlineStr">
        <is>
          <t>Current project basis</t>
        </is>
      </c>
      <c r="C3" s="3" t="inlineStr">
        <is>
          <t>Why it controls Chapter 11 application</t>
        </is>
      </c>
      <c r="D3" s="3" t="inlineStr">
        <is>
          <t>Required project action</t>
        </is>
      </c>
    </row>
    <row r="4" ht="56" customHeight="1">
      <c r="A4" s="12" t="inlineStr">
        <is>
          <t>A117.1 edition lock</t>
        </is>
      </c>
      <c r="B4" s="12" t="inlineStr">
        <is>
          <t>Extracted edition is 2017; SBC 201 Chapter 35 lists A117.1—09</t>
        </is>
      </c>
      <c r="C4" s="12" t="inlineStr">
        <is>
          <t>Type B CFS and door width are in 1104; do not import Accessible 2017 52 in CFS or 67 in turning into Type B interiors</t>
        </is>
      </c>
      <c r="D4" s="12" t="inlineStr">
        <is>
          <t>AHJ to lock 2009 vs 2017 for common/public routes; keep Type B interiors on 1104</t>
        </is>
      </c>
    </row>
    <row r="5" ht="56" customHeight="1">
      <c r="A5" s="9" t="inlineStr">
        <is>
          <t>R-1 vs R-2</t>
        </is>
      </c>
      <c r="B5" s="9" t="inlineStr">
        <is>
          <t>Mixed hotel + apartments</t>
        </is>
      </c>
      <c r="C5" s="9" t="inlineStr">
        <is>
          <t>R-2 Type B is Direct. R-1 Type B only if units are occupied as a residence (SBC scoping — quotas not imported)</t>
        </is>
      </c>
      <c r="D5" s="9" t="inlineStr">
        <is>
          <t>Freeze hotel operating model before applying this matrix to guestrooms</t>
        </is>
      </c>
    </row>
    <row r="6" ht="72" customHeight="1">
      <c r="A6" s="12" t="inlineStr">
        <is>
          <t>New vs existing</t>
        </is>
      </c>
      <c r="B6" s="12" t="inlineStr">
        <is>
          <t>New construction assumed</t>
        </is>
      </c>
      <c r="C6" s="12" t="inlineStr">
        <is>
          <t>1104.4.1 already prints existing-style pinch/180°/90°/passing as Type B exceptions; those are Direct for Type B interiors. Primary-door Table 404.2.3.2 new vs existing still splits</t>
        </is>
      </c>
      <c r="D6" s="12" t="inlineStr">
        <is>
          <t>Do not mix Accessible new 403.5.3.1 90° options into Type B unit corridors</t>
        </is>
      </c>
    </row>
    <row r="7" ht="40" customHeight="1">
      <c r="A7" s="9" t="inlineStr">
        <is>
          <t>Manoeuvre inside the unit</t>
        </is>
      </c>
      <c r="B7" s="9" t="inlineStr">
        <is>
          <t>Type B interiors are reduced</t>
        </is>
      </c>
      <c r="C7" s="9" t="inlineStr">
        <is>
          <t>Interior user-passage doors are 1104.5.2 (31 3/4 inches (805 mm)), not full 404 manoeuvre</t>
        </is>
      </c>
      <c r="D7" s="9" t="inlineStr">
        <is>
          <t>Do not draw 404 latch-side pads at bedroom/bath doors</t>
        </is>
      </c>
    </row>
    <row r="8" ht="40" customHeight="1">
      <c r="A8" s="12" t="inlineStr">
        <is>
          <t>Grab bars</t>
        </is>
      </c>
      <c r="B8" s="12" t="inlineStr">
        <is>
          <t>Blocking only</t>
        </is>
      </c>
      <c r="C8" s="12" t="inlineStr">
        <is>
          <t>1104.11.1 reinforcement; bars not in place</t>
        </is>
      </c>
      <c r="D8" s="12" t="inlineStr">
        <is>
          <t>Draw blocking; do not install Accessible-unit grab bars as the Type B typical</t>
        </is>
      </c>
    </row>
    <row r="9" ht="28" customHeight="1">
      <c r="A9" s="9" t="inlineStr">
        <is>
          <t>Option A vs Option B baths</t>
        </is>
      </c>
      <c r="B9" s="9" t="inlineStr">
        <is>
          <t>Unconfirmed</t>
        </is>
      </c>
      <c r="C9" s="9" t="inlineStr">
        <is>
          <t>Either all baths Option A, or one bath Option B</t>
        </is>
      </c>
      <c r="D9" s="9" t="inlineStr">
        <is>
          <t>Pick one strategy per typical and dimension it</t>
        </is>
      </c>
    </row>
    <row r="10" ht="40" customHeight="1">
      <c r="A10" s="12" t="inlineStr">
        <is>
          <t>AHJ / NOC</t>
        </is>
      </c>
      <c r="B10" s="12" t="inlineStr">
        <is>
          <t>Unconfirmed</t>
        </is>
      </c>
      <c r="C10" s="12" t="inlineStr">
        <is>
          <t>Stamped compliance cannot be concluded from this extract</t>
        </is>
      </c>
      <c r="D10" s="12" t="inlineStr">
        <is>
          <t>Engage the qualified local accessibility consultant before design freeze</t>
        </is>
      </c>
    </row>
  </sheetData>
  <mergeCells count="2">
    <mergeCell ref="A1:D1"/>
    <mergeCell ref="A2:D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I4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26" customWidth="1" min="2" max="2"/>
    <col width="34" customWidth="1" min="3" max="3"/>
    <col width="52" customWidth="1" min="4" max="4"/>
    <col width="36" customWidth="1" min="5" max="5"/>
    <col width="48" customWidth="1" min="6" max="6"/>
    <col width="22" customWidth="1" min="7" max="7"/>
    <col width="48" customWidth="1" min="8" max="8"/>
    <col width="16" customWidth="1" min="9" max="9"/>
  </cols>
  <sheetData>
    <row r="1">
      <c r="A1" s="10" t="inlineStr">
        <is>
          <t>Project-use requirements matrix (Sections 4–11)</t>
        </is>
      </c>
    </row>
    <row r="2" ht="32" customHeight="1">
      <c r="A2" s="17" t="inlineStr">
        <is>
          <t>Design-check rows. Filter by section, unit status, or source confidence. Verify source rows are not design-release values.</t>
        </is>
      </c>
    </row>
    <row r="4" ht="32" customHeight="1">
      <c r="A4" s="3" t="inlineStr">
        <is>
          <t>Section</t>
        </is>
      </c>
      <c r="B4" s="3" t="inlineStr">
        <is>
          <t>Cite</t>
        </is>
      </c>
      <c r="C4" s="3" t="inlineStr">
        <is>
          <t>Component / check</t>
        </is>
      </c>
      <c r="D4" s="3" t="inlineStr">
        <is>
          <t>Exact source requirement / value</t>
        </is>
      </c>
      <c r="E4" s="3" t="inlineStr">
        <is>
          <t>Trigger / condition</t>
        </is>
      </c>
      <c r="F4" s="3" t="inlineStr">
        <is>
          <t>Exceptions / branch</t>
        </is>
      </c>
      <c r="G4" s="3" t="inlineStr">
        <is>
          <t>Type B status</t>
        </is>
      </c>
      <c r="H4" s="3" t="inlineStr">
        <is>
          <t>Design action</t>
        </is>
      </c>
      <c r="I4" s="3" t="inlineStr">
        <is>
          <t>Source confidence</t>
        </is>
      </c>
    </row>
    <row r="5" ht="56" customHeight="1">
      <c r="A5" s="12" t="inlineStr">
        <is>
          <t>4. Unit accessible route and walking surfaces</t>
        </is>
      </c>
      <c r="B5" s="12" t="inlineStr">
        <is>
          <t>1104.2</t>
        </is>
      </c>
      <c r="C5" s="12" t="inlineStr">
        <is>
          <t>Primary entrance location</t>
        </is>
      </c>
      <c r="D5" s="12" t="inlineStr">
        <is>
          <t>Primary entrance on an accessible route from public and common areas; not to a bedroom unless it is the only entrance</t>
        </is>
      </c>
      <c r="E5" s="12" t="inlineStr">
        <is>
          <t>Type B units</t>
        </is>
      </c>
      <c r="F5" s="12" t="inlineStr">
        <is>
          <t>None stated</t>
        </is>
      </c>
      <c r="G5" s="11" t="inlineStr">
        <is>
          <t>Direct</t>
        </is>
      </c>
      <c r="H5" s="12" t="inlineStr">
        <is>
          <t>Place the Type B entry on the corridor accessible route</t>
        </is>
      </c>
      <c r="I5" s="11" t="inlineStr">
        <is>
          <t>Verified</t>
        </is>
      </c>
    </row>
    <row r="6" ht="72" customHeight="1">
      <c r="A6" s="9" t="inlineStr">
        <is>
          <t>4. Unit accessible route and walking surfaces</t>
        </is>
      </c>
      <c r="B6" s="9" t="inlineStr">
        <is>
          <t>1104.3.1</t>
        </is>
      </c>
      <c r="C6" s="9" t="inlineStr">
        <is>
          <t>Unit accessible-route extent</t>
        </is>
      </c>
      <c r="D6" s="9" t="inlineStr">
        <is>
          <t>At least one accessible route shall connect all spaces and elements that are part of the unit and shall coincide with or be in the same area as the general circulation path</t>
        </is>
      </c>
      <c r="E6" s="9" t="inlineStr">
        <is>
          <t>Type B interiors</t>
        </is>
      </c>
      <c r="F6" s="9" t="inlineStr">
        <is>
          <t>Unfinished attics/basements. One allowed miss: a raised or sunken portion of a living/dining/sleeping room, or a mezzanine without plumbing fixtures or enclosed habitable space</t>
        </is>
      </c>
      <c r="G6" s="11" t="inlineStr">
        <is>
          <t>Direct</t>
        </is>
      </c>
      <c r="H6" s="9" t="inlineStr">
        <is>
          <t>Connect entry, bedrooms, living, kitchen and accessible-level baths; document any single raised/sunken/mezzanine miss</t>
        </is>
      </c>
      <c r="I6" s="11" t="inlineStr">
        <is>
          <t>Verified</t>
        </is>
      </c>
    </row>
    <row r="7" ht="40" customHeight="1">
      <c r="A7" s="12" t="inlineStr">
        <is>
          <t>4. Unit accessible route and walking surfaces</t>
        </is>
      </c>
      <c r="B7" s="12" t="inlineStr">
        <is>
          <t>1104.3.2 / 1104.4</t>
        </is>
      </c>
      <c r="C7" s="12" t="inlineStr">
        <is>
          <t>Route components and slope</t>
        </is>
      </c>
      <c r="D7" s="12" t="inlineStr">
        <is>
          <t>Walking surfaces with slope not steeper than 1:20, plus doors, ramps, elevators and platform lifts</t>
        </is>
      </c>
      <c r="E7" s="12" t="inlineStr">
        <is>
          <t>Type B accessible routes</t>
        </is>
      </c>
      <c r="F7" s="12" t="inlineStr">
        <is>
          <t>Steeper walking surfaces become ramps (405)</t>
        </is>
      </c>
      <c r="G7" s="11" t="inlineStr">
        <is>
          <t>Direct</t>
        </is>
      </c>
      <c r="H7" s="12" t="inlineStr">
        <is>
          <t>Hold unit floors at 1:20; treat steeper runs as ramps</t>
        </is>
      </c>
      <c r="I7" s="11" t="inlineStr">
        <is>
          <t>Verified</t>
        </is>
      </c>
    </row>
    <row r="8" ht="72" customHeight="1">
      <c r="A8" s="9" t="inlineStr">
        <is>
          <t>4. Unit accessible route and walking surfaces</t>
        </is>
      </c>
      <c r="B8" s="9" t="inlineStr">
        <is>
          <t>1104.4.1 / 403.5.1</t>
        </is>
      </c>
      <c r="C8" s="9" t="inlineStr">
        <is>
          <t>Interior clear width with Type B pinch</t>
        </is>
      </c>
      <c r="D8" s="9" t="inlineStr">
        <is>
          <t>Clear width complies with 403.5, except Type B may reduce to 32 inches (815 mm) min for 24 inches (610 mm) max length if reduced segments are separated by 48 inches (1220 mm) min length × 36 inches (915 mm) min width</t>
        </is>
      </c>
      <c r="E8" s="9" t="inlineStr">
        <is>
          <t>Type B interior accessible routes</t>
        </is>
      </c>
      <c r="F8" s="9" t="inlineStr">
        <is>
          <t>This printed exception uses the existing-style 48-inch (1220 mm) separator, not the new-building 52-inch (1320 mm) separator</t>
        </is>
      </c>
      <c r="G8" s="11" t="inlineStr">
        <is>
          <t>Direct</t>
        </is>
      </c>
      <c r="H8" s="9" t="inlineStr">
        <is>
          <t>Hold Type B corridors at 915 mm; if a pinch is used, separate with 1220 × 915 mm</t>
        </is>
      </c>
      <c r="I8" s="11" t="inlineStr">
        <is>
          <t>Verified</t>
        </is>
      </c>
    </row>
    <row r="9" ht="72" customHeight="1">
      <c r="A9" s="12" t="inlineStr">
        <is>
          <t>4. Unit accessible route and walking surfaces</t>
        </is>
      </c>
      <c r="B9" s="12" t="inlineStr">
        <is>
          <t>1104.4.1 Exceptions 2–3</t>
        </is>
      </c>
      <c r="C9" s="12" t="inlineStr">
        <is>
          <t>Type B 180-degree turn</t>
        </is>
      </c>
      <c r="D9" s="12" t="inlineStr">
        <is>
          <t>Around an object &lt; 48 inches (1220 mm) wide: 42 inches (1065 mm) approaching, 48 inches (1220 mm) during, 42 inches (1065 mm) leaving; or approach/leave 36 inches (915 mm) if the turn is 60 inches (1525 mm) min</t>
        </is>
      </c>
      <c r="E9" s="12" t="inlineStr">
        <is>
          <t>180-degree turns on the Type B route</t>
        </is>
      </c>
      <c r="F9" s="12" t="inlineStr">
        <is>
          <t>These are the Type B printed exceptions (existing-style), Direct for Type B interiors</t>
        </is>
      </c>
      <c r="G9" s="11" t="inlineStr">
        <is>
          <t>Direct</t>
        </is>
      </c>
      <c r="H9" s="12" t="inlineStr">
        <is>
          <t>Dimension Type B 180° turns to 42/48/42 or 36/60/36; do not require Accessible new 43 in or 52 in object rules inside the unit</t>
        </is>
      </c>
      <c r="I9" s="11" t="inlineStr">
        <is>
          <t>Verified</t>
        </is>
      </c>
    </row>
    <row r="10" ht="40" customHeight="1">
      <c r="A10" s="9" t="inlineStr">
        <is>
          <t>4. Unit accessible route and walking surfaces</t>
        </is>
      </c>
      <c r="B10" s="9" t="inlineStr">
        <is>
          <t>1104.4.1 Exception 4</t>
        </is>
      </c>
      <c r="C10" s="9" t="inlineStr">
        <is>
          <t>Type B 90-degree turn</t>
        </is>
      </c>
      <c r="D10" s="9" t="inlineStr">
        <is>
          <t>Clear widths approaching and leaving a 90-degree turn 36 inches (915 mm) minimum</t>
        </is>
      </c>
      <c r="E10" s="9" t="inlineStr">
        <is>
          <t>90-degree turns on the Type B route</t>
        </is>
      </c>
      <c r="F10" s="9" t="inlineStr">
        <is>
          <t>Do not apply Accessible new 403.5.3.1 40/38/44 in option set inside Type B units</t>
        </is>
      </c>
      <c r="G10" s="11" t="inlineStr">
        <is>
          <t>Direct</t>
        </is>
      </c>
      <c r="H10" s="9" t="inlineStr">
        <is>
          <t>Hold Type B 90° turns at 915 mm both legs</t>
        </is>
      </c>
      <c r="I10" s="11" t="inlineStr">
        <is>
          <t>Verified</t>
        </is>
      </c>
    </row>
    <row r="11" ht="72" customHeight="1">
      <c r="A11" s="12" t="inlineStr">
        <is>
          <t>4. Unit accessible route and walking surfaces</t>
        </is>
      </c>
      <c r="B11" s="12" t="inlineStr">
        <is>
          <t>1104.4.1 Exception 5</t>
        </is>
      </c>
      <c r="C11" s="12" t="inlineStr">
        <is>
          <t>Type B passing space</t>
        </is>
      </c>
      <c r="D11" s="12" t="inlineStr">
        <is>
          <t>Where width &lt; 60 inches (1525 mm), passing at 200 feet (61 m) max: 60 × 60 inches (1525 × 1525 mm) or a T-turn per 304.3.2.2 with base/arms 48 inches (1220 mm) min beyond the intersection</t>
        </is>
      </c>
      <c r="E11" s="12" t="inlineStr">
        <is>
          <t>Long Type B routes under 1525 mm</t>
        </is>
      </c>
      <c r="F11" s="12" t="inlineStr">
        <is>
          <t>304.3.2.2 is the existing T-turn (60-inch (1525 mm) square, arms/base 36 inches (915 mm))</t>
        </is>
      </c>
      <c r="G11" s="13" t="inlineStr">
        <is>
          <t>Conditional</t>
        </is>
      </c>
      <c r="H11" s="12" t="inlineStr">
        <is>
          <t>Add a 1525 mm passing bay on any Type B corridor longer than 61 m under 1525 mm</t>
        </is>
      </c>
      <c r="I11" s="11" t="inlineStr">
        <is>
          <t>Verified</t>
        </is>
      </c>
    </row>
    <row r="12" ht="56" customHeight="1">
      <c r="A12" s="9" t="inlineStr">
        <is>
          <t>4. Unit accessible route and walking surfaces</t>
        </is>
      </c>
      <c r="B12" s="9" t="inlineStr">
        <is>
          <t>1104.4.2 / 303.2–303.4</t>
        </is>
      </c>
      <c r="C12" s="9" t="inlineStr">
        <is>
          <t>Change in level</t>
        </is>
      </c>
      <c r="D12" s="9" t="inlineStr">
        <is>
          <t>Vertical 1/4 inch (6.4 mm) max; 1/4–1/2 inch (6.4–13 mm) beveled 1:2; above 1/2 inch (13 mm) by ramp 405 or curb ramp 406</t>
        </is>
      </c>
      <c r="E12" s="9" t="inlineStr">
        <is>
          <t>Type B walking surfaces</t>
        </is>
      </c>
      <c r="F12" s="9" t="inlineStr">
        <is>
          <t>Exterior impervious deck/patio/balcony may be 4 inches (100 mm) max below the adjacent interior floor</t>
        </is>
      </c>
      <c r="G12" s="11" t="inlineStr">
        <is>
          <t>Direct</t>
        </is>
      </c>
      <c r="H12" s="9" t="inlineStr">
        <is>
          <t>Limit interior joints to 13 mm at 1:2; balcony drop ≤ 100 mm if impervious</t>
        </is>
      </c>
      <c r="I12" s="11" t="inlineStr">
        <is>
          <t>Verified</t>
        </is>
      </c>
    </row>
    <row r="13" ht="40" customHeight="1">
      <c r="A13" s="12" t="inlineStr">
        <is>
          <t>5. Doors and doorways</t>
        </is>
      </c>
      <c r="B13" s="12" t="inlineStr">
        <is>
          <t>1104.5.1 / 404.2.2</t>
        </is>
      </c>
      <c r="C13" s="12" t="inlineStr">
        <is>
          <t>Primary-entrance clear opening</t>
        </is>
      </c>
      <c r="D13" s="12" t="inlineStr">
        <is>
          <t>Primary entrance complies with 404: clear opening 32 inches (815 mm) min, door face to stop at 90°</t>
        </is>
      </c>
      <c r="E13" s="12" t="inlineStr">
        <is>
          <t>Type B primary entrance door</t>
        </is>
      </c>
      <c r="F13" s="12" t="inlineStr">
        <is>
          <t>Interior user-passage doors use 1104.5.2, not this row</t>
        </is>
      </c>
      <c r="G13" s="11" t="inlineStr">
        <is>
          <t>Direct</t>
        </is>
      </c>
      <c r="H13" s="12" t="inlineStr">
        <is>
          <t>Specify 815 mm clear at the unit entry only</t>
        </is>
      </c>
      <c r="I13" s="11" t="inlineStr">
        <is>
          <t>Verified</t>
        </is>
      </c>
    </row>
    <row r="14" ht="88" customHeight="1">
      <c r="A14" s="9" t="inlineStr">
        <is>
          <t>5. Doors and doorways</t>
        </is>
      </c>
      <c r="B14" s="9" t="inlineStr">
        <is>
          <t>1104.5.1 Exceptions 2–4</t>
        </is>
      </c>
      <c r="C14" s="9" t="inlineStr">
        <is>
          <t>Type B primary-door front manoeuvre</t>
        </is>
      </c>
      <c r="D14" s="9" t="inlineStr">
        <is>
          <t>Front-approach push on swinging doors, front approach on sliding/folding doors, and front approach at doorways without doors: perpendicular dimension 48 inches (1220 mm) minimum</t>
        </is>
      </c>
      <c r="E14" s="9" t="inlineStr">
        <is>
          <t>Type B primary entrance</t>
        </is>
      </c>
      <c r="F14" s="9" t="inlineStr">
        <is>
          <t>Storm/screen doors exempt from 404.2.5. Remainder of 404 manoeuvre at the primary door still charges Table 404.2.3.2 (flattened: no other cell adopted). Readable 404.2.3.2 footnotes 1–4 still apply at the primary door</t>
        </is>
      </c>
      <c r="G14" s="11" t="inlineStr">
        <is>
          <t>Direct</t>
        </is>
      </c>
      <c r="H14" s="9" t="inlineStr">
        <is>
          <t>Hold 1220 mm perpendicular on the push/front side of the Type B entry; do not import reconstructed table cells for other approaches</t>
        </is>
      </c>
      <c r="I14" s="16" t="inlineStr">
        <is>
          <t>Verify source</t>
        </is>
      </c>
    </row>
    <row r="15" ht="56" customHeight="1">
      <c r="A15" s="12" t="inlineStr">
        <is>
          <t>5. Doors and doorways</t>
        </is>
      </c>
      <c r="B15" s="12" t="inlineStr">
        <is>
          <t>1104.5.2.1</t>
        </is>
      </c>
      <c r="C15" s="12" t="inlineStr">
        <is>
          <t>Interior user-passage clear opening</t>
        </is>
      </c>
      <c r="D15" s="12" t="inlineStr">
        <is>
          <t>Doorways intended for user passage: clear opening 31 3/4 inches (805 mm) minimum, measured door face to stop at 90°</t>
        </is>
      </c>
      <c r="E15" s="12" t="inlineStr">
        <is>
          <t>Interior Type B user-passage doors</t>
        </is>
      </c>
      <c r="F15" s="12" t="inlineStr">
        <is>
          <t>Shower door assemblies exempt. This is not 404 manoeuvre and not 32 in (815 mm)</t>
        </is>
      </c>
      <c r="G15" s="11" t="inlineStr">
        <is>
          <t>Direct</t>
        </is>
      </c>
      <c r="H15" s="12" t="inlineStr">
        <is>
          <t>Specify 805 mm clear at bedrooms, baths and kitchens; do not draw 404 latch-side pads</t>
        </is>
      </c>
      <c r="I15" s="11" t="inlineStr">
        <is>
          <t>Verified</t>
        </is>
      </c>
    </row>
    <row r="16" ht="56" customHeight="1">
      <c r="A16" s="9" t="inlineStr">
        <is>
          <t>5. Doors and doorways</t>
        </is>
      </c>
      <c r="B16" s="9" t="inlineStr">
        <is>
          <t>1104.5.2.1.1</t>
        </is>
      </c>
      <c r="C16" s="9" t="inlineStr">
        <is>
          <t>Double-leaf inactive hardware</t>
        </is>
      </c>
      <c r="D16" s="9" t="inlineStr">
        <is>
          <t>If operable parts on an inactive leaf are &gt; 48 inches (1220 mm) or &lt; 15 inches (380 mm) AFF, the active leaf shall provide the 1104.5.2.1 clearance</t>
        </is>
      </c>
      <c r="E16" s="9" t="inlineStr">
        <is>
          <t>Type B double-leaf user-passage doors</t>
        </is>
      </c>
      <c r="F16" s="9" t="inlineStr">
        <is>
          <t>None stated</t>
        </is>
      </c>
      <c r="G16" s="13" t="inlineStr">
        <is>
          <t>Conditional</t>
        </is>
      </c>
      <c r="H16" s="9" t="inlineStr">
        <is>
          <t>Keep inactive-leaf hardware in 380–1220 mm or size the active leaf to 805 mm clear</t>
        </is>
      </c>
      <c r="I16" s="11" t="inlineStr">
        <is>
          <t>Verified</t>
        </is>
      </c>
    </row>
    <row r="17" ht="40" customHeight="1">
      <c r="A17" s="12" t="inlineStr">
        <is>
          <t>5. Doors and doorways</t>
        </is>
      </c>
      <c r="B17" s="12" t="inlineStr">
        <is>
          <t>1104.5.2.2 / 303</t>
        </is>
      </c>
      <c r="C17" s="12" t="inlineStr">
        <is>
          <t>Interior thresholds</t>
        </is>
      </c>
      <c r="D17" s="12" t="inlineStr">
        <is>
          <t>Thresholds comply with 303: 1/4 inch (6.4 mm) vertical; 1/2 inch (13 mm) at 1:2</t>
        </is>
      </c>
      <c r="E17" s="12" t="inlineStr">
        <is>
          <t>Type B user-passage doorways</t>
        </is>
      </c>
      <c r="F17" s="12" t="inlineStr">
        <is>
          <t>Exterior sliding doors 3/4 inch (19 mm) max, beveled not steeper than 1:2</t>
        </is>
      </c>
      <c r="G17" s="11" t="inlineStr">
        <is>
          <t>Direct</t>
        </is>
      </c>
      <c r="H17" s="12" t="inlineStr">
        <is>
          <t>Specify 13 mm max interior thresholds; 19 mm at 1:2 on exterior sliders</t>
        </is>
      </c>
      <c r="I17" s="11" t="inlineStr">
        <is>
          <t>Verified</t>
        </is>
      </c>
    </row>
    <row r="18" ht="40" customHeight="1">
      <c r="A18" s="9" t="inlineStr">
        <is>
          <t>5. Doors and doorways</t>
        </is>
      </c>
      <c r="B18" s="9" t="inlineStr">
        <is>
          <t>1104.5.2.3 / 404.3.3</t>
        </is>
      </c>
      <c r="C18" s="9" t="inlineStr">
        <is>
          <t>Automatic user-passage doors</t>
        </is>
      </c>
      <c r="D18" s="9" t="inlineStr">
        <is>
          <t>Automatic doors comply with 404.3: 32 inches (815 mm) clear in power-on and power-off</t>
        </is>
      </c>
      <c r="E18" s="9" t="inlineStr">
        <is>
          <t>Power-operated interior Type B doors</t>
        </is>
      </c>
      <c r="F18" s="9" t="inlineStr">
        <is>
          <t>BHMA A156 values not imported</t>
        </is>
      </c>
      <c r="G18" s="13" t="inlineStr">
        <is>
          <t>Conditional</t>
        </is>
      </c>
      <c r="H18" s="9" t="inlineStr">
        <is>
          <t>If an automatic interior door is used, keep 815 mm clear in both power states</t>
        </is>
      </c>
      <c r="I18" s="11" t="inlineStr">
        <is>
          <t>Verified</t>
        </is>
      </c>
    </row>
    <row r="19" ht="56" customHeight="1">
      <c r="A19" s="12" t="inlineStr">
        <is>
          <t>5. Doors and doorways</t>
        </is>
      </c>
      <c r="B19" s="12" t="inlineStr">
        <is>
          <t>1104.5.1 / 404.2.6</t>
        </is>
      </c>
      <c r="C19" s="12" t="inlineStr">
        <is>
          <t>Primary-door hardware</t>
        </is>
      </c>
      <c r="D19" s="12" t="inlineStr">
        <is>
          <t>Push/pull 15 pounds (66.7 N) max; rotational 28 inch-pounds (315 N·cm) max; hardware 34–48 inches (865–1220 mm) AFF</t>
        </is>
      </c>
      <c r="E19" s="12" t="inlineStr">
        <is>
          <t>Type B primary entrance</t>
        </is>
      </c>
      <c r="F19" s="12" t="inlineStr">
        <is>
          <t>Interior 1104.5.2 doors are not charged with full 404 hardware</t>
        </is>
      </c>
      <c r="G19" s="11" t="inlineStr">
        <is>
          <t>Direct</t>
        </is>
      </c>
      <c r="H19" s="12" t="inlineStr">
        <is>
          <t>Schedule entry levers 865–1220 mm AFF</t>
        </is>
      </c>
      <c r="I19" s="11" t="inlineStr">
        <is>
          <t>Verified</t>
        </is>
      </c>
    </row>
    <row r="20" ht="40" customHeight="1">
      <c r="A20" s="9" t="inlineStr">
        <is>
          <t>6. Clear floor space and operable parts</t>
        </is>
      </c>
      <c r="B20" s="9" t="inlineStr">
        <is>
          <t>1104.1.1</t>
        </is>
      </c>
      <c r="C20" s="9" t="inlineStr">
        <is>
          <t>Type B clear floor space</t>
        </is>
      </c>
      <c r="D20" s="9" t="inlineStr">
        <is>
          <t>Clear floor spaces 48 inches (1220 mm) min length × 30 inches (760 mm) min width</t>
        </is>
      </c>
      <c r="E20" s="9" t="inlineStr">
        <is>
          <t>Type B fixtures, appliances, laundry and controls that require a CFS</t>
        </is>
      </c>
      <c r="F20" s="9" t="inlineStr">
        <is>
          <t>Do not use 2017 new 305.3.1 52 inches (1320 mm) inside Type B units</t>
        </is>
      </c>
      <c r="G20" s="11" t="inlineStr">
        <is>
          <t>Direct</t>
        </is>
      </c>
      <c r="H20" s="9" t="inlineStr">
        <is>
          <t>Park 1220 × 760 mm CFS at Type B fixtures and appliances</t>
        </is>
      </c>
      <c r="I20" s="11" t="inlineStr">
        <is>
          <t>Verified</t>
        </is>
      </c>
    </row>
    <row r="21" ht="40" customHeight="1">
      <c r="A21" s="12" t="inlineStr">
        <is>
          <t>6. Clear floor space and operable parts</t>
        </is>
      </c>
      <c r="B21" s="12" t="inlineStr">
        <is>
          <t>1104.1.2</t>
        </is>
      </c>
      <c r="C21" s="12" t="inlineStr">
        <is>
          <t>Mailbox side reach</t>
        </is>
      </c>
      <c r="D21" s="12" t="inlineStr">
        <is>
          <t>Mailboxes serving Type B units may use unobstructed side reach 54 inches (1370 mm) maximum AFF</t>
        </is>
      </c>
      <c r="E21" s="12" t="inlineStr">
        <is>
          <t>Mailboxes serving Type B units</t>
        </is>
      </c>
      <c r="F21" s="12" t="inlineStr">
        <is>
          <t>This is a Type B permission, not a 308.3.1 existing-element rule</t>
        </is>
      </c>
      <c r="G21" s="13" t="inlineStr">
        <is>
          <t>Conditional</t>
        </is>
      </c>
      <c r="H21" s="12" t="inlineStr">
        <is>
          <t>If unit mailboxes are provided, 1370 mm side reach is permitted</t>
        </is>
      </c>
      <c r="I21" s="11" t="inlineStr">
        <is>
          <t>Verified</t>
        </is>
      </c>
    </row>
    <row r="22" ht="136" customHeight="1">
      <c r="A22" s="9" t="inlineStr">
        <is>
          <t>6. Clear floor space and operable parts</t>
        </is>
      </c>
      <c r="B22" s="9" t="inlineStr">
        <is>
          <t>1104.9 / 309.3 / 308</t>
        </is>
      </c>
      <c r="C22" s="9" t="inlineStr">
        <is>
          <t>Control height</t>
        </is>
      </c>
      <c r="D22" s="9" t="inlineStr">
        <is>
          <t>Lighting, switches, receptacles, environmental controls, panelboards and security/intercom controls: height in a 308 reach range, with CFS per 1104.1.1. Unobstructed high 48 inches (1220 mm) / low 15 inches (380 mm)</t>
        </is>
      </c>
      <c r="E22" s="9" t="inlineStr">
        <is>
          <t>Type B lighting, receptacles, environmental, panelboards, security/intercom</t>
        </is>
      </c>
      <c r="F22" s="9" t="inlineStr">
        <is>
          <t>Plumbing fixture and appliance controls are not charged (Ex. 7–8). Dedicated receptacles; one of two-plus kitchen counter receptacles; corner counter ≤ 9 square feet (0.835 m²); floor receptacles; HVAC diffusers; ceiling-fan controls; appliance resets; redundant non-light controls. Kitchen/bath controls may sit over cabinets 36 inches (915 mm) max high × 25 1/2 inches (650 mm) max deep</t>
        </is>
      </c>
      <c r="G22" s="11" t="inlineStr">
        <is>
          <t>Direct</t>
        </is>
      </c>
      <c r="H22" s="9" t="inlineStr">
        <is>
          <t>Place switches and receptacles at 380–1220 mm; allow the 915 × 650 mm over-cabinet exception in kitchens/baths; do not force 309 on plumbing/appliance controls</t>
        </is>
      </c>
      <c r="I22" s="11" t="inlineStr">
        <is>
          <t>Verified</t>
        </is>
      </c>
    </row>
    <row r="23" ht="56" customHeight="1">
      <c r="A23" s="12" t="inlineStr">
        <is>
          <t>6. Clear floor space and operable parts</t>
        </is>
      </c>
      <c r="B23" s="12" t="inlineStr">
        <is>
          <t>1104.11.2.2 / 306</t>
        </is>
      </c>
      <c r="C23" s="12" t="inlineStr">
        <is>
          <t>Knee and toe at fixtures</t>
        </is>
      </c>
      <c r="D23" s="12" t="inlineStr">
        <is>
          <t>Fixture CFS may include 306 knee/toe: toe to 9 inches (230 mm) AFF, 25 inches (635 mm) max / 17 inches (430 mm) min; knee 9–27 inches (230–685 mm) AFF</t>
        </is>
      </c>
      <c r="E23" s="12" t="inlineStr">
        <is>
          <t>Forward-approach Type B fixtures</t>
        </is>
      </c>
      <c r="F23" s="12" t="inlineStr">
        <is>
          <t>Option A lavatory typical is parallel approach (no 306 required unless the 606 forward option is used)</t>
        </is>
      </c>
      <c r="G23" s="13" t="inlineStr">
        <is>
          <t>Conditional</t>
        </is>
      </c>
      <c r="H23" s="12" t="inlineStr">
        <is>
          <t>Apply 306 only where a forward Type B approach is used</t>
        </is>
      </c>
      <c r="I23" s="11" t="inlineStr">
        <is>
          <t>Verified</t>
        </is>
      </c>
    </row>
    <row r="24" ht="40" customHeight="1">
      <c r="A24" s="9" t="inlineStr">
        <is>
          <t>7. Toilet and bathing facilities (blocking; Option A or B)</t>
        </is>
      </c>
      <c r="B24" s="9" t="inlineStr">
        <is>
          <t>1104.11</t>
        </is>
      </c>
      <c r="C24" s="9" t="inlineStr">
        <is>
          <t>Bath applicability</t>
        </is>
      </c>
      <c r="D24" s="9" t="inlineStr">
        <is>
          <t>Toilet and bathing fixtures comply with 1104.11</t>
        </is>
      </c>
      <c r="E24" s="9" t="inlineStr">
        <is>
          <t>Fixtures on accessible levels of the Type B unit</t>
        </is>
      </c>
      <c r="F24" s="9" t="inlineStr">
        <is>
          <t>Fixtures on levels not required to be accessible</t>
        </is>
      </c>
      <c r="G24" s="11" t="inlineStr">
        <is>
          <t>Direct</t>
        </is>
      </c>
      <c r="H24" s="9" t="inlineStr">
        <is>
          <t>Apply this section to the accessible-level bath(s)</t>
        </is>
      </c>
      <c r="I24" s="11" t="inlineStr">
        <is>
          <t>Verified</t>
        </is>
      </c>
    </row>
    <row r="25" ht="56" customHeight="1">
      <c r="A25" s="12" t="inlineStr">
        <is>
          <t>7. Toilet and bathing facilities (blocking; Option A or B)</t>
        </is>
      </c>
      <c r="B25" s="12" t="inlineStr">
        <is>
          <t>1104.11.3</t>
        </is>
      </c>
      <c r="C25" s="12" t="inlineStr">
        <is>
          <t>Option A or Option B</t>
        </is>
      </c>
      <c r="D25" s="12" t="inlineStr">
        <is>
          <t>Either all toilet/bathing areas comply with Option A (1104.11.3.1), or one toilet/bathing area complies with Option B (1104.11.3.2)</t>
        </is>
      </c>
      <c r="E25" s="12" t="inlineStr">
        <is>
          <t>Type B accessible-level baths</t>
        </is>
      </c>
      <c r="F25" s="12" t="inlineStr">
        <is>
          <t>Pick one strategy; do not mix unlabelled</t>
        </is>
      </c>
      <c r="G25" s="11" t="inlineStr">
        <is>
          <t>Direct</t>
        </is>
      </c>
      <c r="H25" s="12" t="inlineStr">
        <is>
          <t>Freeze Option A (every bath) or Option B (one room) on the typical</t>
        </is>
      </c>
      <c r="I25" s="11" t="inlineStr">
        <is>
          <t>Verified</t>
        </is>
      </c>
    </row>
    <row r="26" ht="140" customHeight="1">
      <c r="A26" s="9" t="inlineStr">
        <is>
          <t>7. Toilet and bathing facilities (blocking; Option A or B)</t>
        </is>
      </c>
      <c r="B26" s="9" t="inlineStr">
        <is>
          <t>1104.11.1</t>
        </is>
      </c>
      <c r="C26" s="9" t="inlineStr">
        <is>
          <t>Grab-bar and seat blocking</t>
        </is>
      </c>
      <c r="D26" s="9" t="inlineStr">
        <is>
          <t>Reinforcement for future 604.5 WC bars, 607.4 tub bars, and 608.3 / 608.2.1.3 / 608.2.2.3 / 608.2.3.2 shower bars and seats, where walls permit those installations</t>
        </is>
      </c>
      <c r="E26" s="9" t="inlineStr">
        <is>
          <t>Water closets, tubs and showers on accessible levels</t>
        </is>
      </c>
      <c r="F26" s="9" t="inlineStr">
        <is>
          <t>Powder room that is not the only lav/WC on the accessible level. Vertical WC side-bar component of 604.5 not required. Rear 24 inches (610 mm) min centered if 604.5.2 will not fit. Side 24 inches (610 mm) min, 12 inches (305 mm) max from rear wall, if a 42-inch (1065 mm) side bar will not fit. Swing-up bars per 1104.11.1.1 permitted in lieu. Shower seat blocking not required in compartments larger than 36 × 36 inches (915 × 915 mm)</t>
        </is>
      </c>
      <c r="G26" s="11" t="inlineStr">
        <is>
          <t>Direct</t>
        </is>
      </c>
      <c r="H26" s="9" t="inlineStr">
        <is>
          <t>Back WC/tub/shower walls for future bars; omit vertical side-bar blocking</t>
        </is>
      </c>
      <c r="I26" s="11" t="inlineStr">
        <is>
          <t>Verified</t>
        </is>
      </c>
    </row>
    <row r="27" ht="104" customHeight="1">
      <c r="A27" s="12" t="inlineStr">
        <is>
          <t>7. Toilet and bathing facilities (blocking; Option A or B)</t>
        </is>
      </c>
      <c r="B27" s="12" t="inlineStr">
        <is>
          <t>1104.11.1.1</t>
        </is>
      </c>
      <c r="C27" s="12" t="inlineStr">
        <is>
          <t>Swing-up grab-bar blocking</t>
        </is>
      </c>
      <c r="D27" s="12" t="inlineStr">
        <is>
          <t>18 inches (455 mm) min from WC centerline to any side wall or obstruction (on the side opposite a side approach). Bar centered 15 3/4 inches (400 mm) from WC centerline, 28 inches (710 mm) min length from the wall, down position 33–36 inches (840–915 mm) AFF. Force per 609.8 250 pounds (1112 N)</t>
        </is>
      </c>
      <c r="E27" s="12" t="inlineStr">
        <is>
          <t>Where swing-up blocking is used instead of a 42 in side bar</t>
        </is>
      </c>
      <c r="F27" s="12" t="inlineStr">
        <is>
          <t>If the WC has a wall to the rear and one side, centerline 16–18 inches (405–455 mm) from the sidewall</t>
        </is>
      </c>
      <c r="G27" s="13" t="inlineStr">
        <is>
          <t>Conditional</t>
        </is>
      </c>
      <c r="H27" s="12" t="inlineStr">
        <is>
          <t>If swing-up blocking is used, hold 455 mm to the obstruction and 840–915 mm down height</t>
        </is>
      </c>
      <c r="I27" s="11" t="inlineStr">
        <is>
          <t>Verified</t>
        </is>
      </c>
    </row>
    <row r="28" ht="40" customHeight="1">
      <c r="A28" s="9" t="inlineStr">
        <is>
          <t>7. Toilet and bathing facilities (blocking; Option A or B)</t>
        </is>
      </c>
      <c r="B28" s="9" t="inlineStr">
        <is>
          <t>1104.11.2.1</t>
        </is>
      </c>
      <c r="C28" s="9" t="inlineStr">
        <is>
          <t>Bath door swing</t>
        </is>
      </c>
      <c r="D28" s="9" t="inlineStr">
        <is>
          <t>Door shall not swing into any fixture CFS or clearance</t>
        </is>
      </c>
      <c r="E28" s="9" t="inlineStr">
        <is>
          <t>Option A or B bathrooms</t>
        </is>
      </c>
      <c r="F28" s="9" t="inlineStr">
        <is>
          <t>CFS beyond the door arc, excluding knee/toe under elements</t>
        </is>
      </c>
      <c r="G28" s="11" t="inlineStr">
        <is>
          <t>Direct</t>
        </is>
      </c>
      <c r="H28" s="9" t="inlineStr">
        <is>
          <t>Swing the door out or past a 1220 × 760 mm CFS</t>
        </is>
      </c>
      <c r="I28" s="11" t="inlineStr">
        <is>
          <t>Verified</t>
        </is>
      </c>
    </row>
    <row r="29" ht="72" customHeight="1">
      <c r="A29" s="12" t="inlineStr">
        <is>
          <t>7. Toilet and bathing facilities (blocking; Option A or B)</t>
        </is>
      </c>
      <c r="B29" s="12" t="inlineStr">
        <is>
          <t>1104.11.3.1.1</t>
        </is>
      </c>
      <c r="C29" s="12" t="inlineStr">
        <is>
          <t>Option A lavatory</t>
        </is>
      </c>
      <c r="D29" s="12" t="inlineStr">
        <is>
          <t>Parallel-approach CFS centered on the lavatory</t>
        </is>
      </c>
      <c r="E29" s="12" t="inlineStr">
        <is>
          <t>Option A lavatories</t>
        </is>
      </c>
      <c r="F29" s="12" t="inlineStr">
        <is>
          <t>Not more than one lavatory per combined toilet/bathing area. Powder-room lav+WC exemption. Forward 606.3/606.4 lavatory with 1104.1.1 CFS and removable cabinetry permitted</t>
        </is>
      </c>
      <c r="G29" s="11" t="inlineStr">
        <is>
          <t>Direct</t>
        </is>
      </c>
      <c r="H29" s="12" t="inlineStr">
        <is>
          <t>Center a 1220 × 760 mm parallel CFS on the Option A lavatory</t>
        </is>
      </c>
      <c r="I29" s="11" t="inlineStr">
        <is>
          <t>Verified</t>
        </is>
      </c>
    </row>
    <row r="30" ht="104" customHeight="1">
      <c r="A30" s="9" t="inlineStr">
        <is>
          <t>7. Toilet and bathing facilities (blocking; Option A or B)</t>
        </is>
      </c>
      <c r="B30" s="9" t="inlineStr">
        <is>
          <t>1104.11.3.1.2.1–1104.11.3.1.2.2.4</t>
        </is>
      </c>
      <c r="C30" s="9" t="inlineStr">
        <is>
          <t>Option A water closet</t>
        </is>
      </c>
      <c r="D30" s="9" t="inlineStr">
        <is>
          <t>Centerline 16–18 inches (405–455 mm) from one side of the required clearance. Clearance 48 inches (1220 mm) min wide × 56 inches (1420 mm) min deep; 66 inches (1675 mm) min deep where a forward approach is provided. Vanity/obstruction 24 inches (610 mm) max deep may overlap if remaining WC width is 33 inches (840 mm) min</t>
        </is>
      </c>
      <c r="E30" s="9" t="inlineStr">
        <is>
          <t>Option A water closets</t>
        </is>
      </c>
      <c r="F30" s="9" t="inlineStr">
        <is>
          <t>Clearance complying with Type A 1103.11.2.4.2–1103.11.2.4.4 (60 × 56 inches (1525 × 1420 mm), 24 in lavatory overlap at 66 in depth) is permitted</t>
        </is>
      </c>
      <c r="G30" s="11" t="inlineStr">
        <is>
          <t>Direct</t>
        </is>
      </c>
      <c r="H30" s="9" t="inlineStr">
        <is>
          <t>Set WC at 405–455 mm in a 1220 × 1420 mm zone (1675 mm if forward approach)</t>
        </is>
      </c>
      <c r="I30" s="11" t="inlineStr">
        <is>
          <t>Verified</t>
        </is>
      </c>
    </row>
    <row r="31" ht="88" customHeight="1">
      <c r="A31" s="12" t="inlineStr">
        <is>
          <t>7. Toilet and bathing facilities (blocking; Option A or B)</t>
        </is>
      </c>
      <c r="B31" s="12" t="inlineStr">
        <is>
          <t>1104.11.3.1.3.1</t>
        </is>
      </c>
      <c r="C31" s="12" t="inlineStr">
        <is>
          <t>Option A parallel bathtub</t>
        </is>
      </c>
      <c r="D31" s="12" t="inlineStr">
        <is>
          <t>Clearance 60 inches (1525 mm) min length × 30 inches (760 mm) min width in front. 606 lavatory permitted in the clearance. 1104.11.3.1 lavatory at one end permitted if a 48 × 30 inches (1220 × 760 mm) clearance remains in front of the tub</t>
        </is>
      </c>
      <c r="E31" s="12" t="inlineStr">
        <is>
          <t>Option A parallel-approach tub</t>
        </is>
      </c>
      <c r="F31" s="12" t="inlineStr">
        <is>
          <t>None stated</t>
        </is>
      </c>
      <c r="G31" s="11" t="inlineStr">
        <is>
          <t>Direct</t>
        </is>
      </c>
      <c r="H31" s="12" t="inlineStr">
        <is>
          <t>Hold 1525 × 760 mm in front of a parallel Option A tub</t>
        </is>
      </c>
      <c r="I31" s="11" t="inlineStr">
        <is>
          <t>Verified</t>
        </is>
      </c>
    </row>
    <row r="32" ht="56" customHeight="1">
      <c r="A32" s="9" t="inlineStr">
        <is>
          <t>7. Toilet and bathing facilities (blocking; Option A or B)</t>
        </is>
      </c>
      <c r="B32" s="9" t="inlineStr">
        <is>
          <t>1104.11.3.1.3.2</t>
        </is>
      </c>
      <c r="C32" s="9" t="inlineStr">
        <is>
          <t>Option A forward bathtub</t>
        </is>
      </c>
      <c r="D32" s="9" t="inlineStr">
        <is>
          <t>Clearance 60 inches (1525 mm) min length × 48 inches (1220 mm) min width in front. A water closet and lavatory permitted in the clearance at one end</t>
        </is>
      </c>
      <c r="E32" s="9" t="inlineStr">
        <is>
          <t>Option A forward-approach tub</t>
        </is>
      </c>
      <c r="F32" s="9" t="inlineStr">
        <is>
          <t>None stated</t>
        </is>
      </c>
      <c r="G32" s="11" t="inlineStr">
        <is>
          <t>Direct</t>
        </is>
      </c>
      <c r="H32" s="9" t="inlineStr">
        <is>
          <t>Hold 1525 × 1220 mm in front of a forward Option A tub</t>
        </is>
      </c>
      <c r="I32" s="11" t="inlineStr">
        <is>
          <t>Verified</t>
        </is>
      </c>
    </row>
    <row r="33" ht="72" customHeight="1">
      <c r="A33" s="12" t="inlineStr">
        <is>
          <t>7. Toilet and bathing facilities (blocking; Option A or B)</t>
        </is>
      </c>
      <c r="B33" s="12" t="inlineStr">
        <is>
          <t>1104.11.3.1.3.3</t>
        </is>
      </c>
      <c r="C33" s="12" t="inlineStr">
        <is>
          <t>Option A/B shower (only bathing fixture)</t>
        </is>
      </c>
      <c r="D33" s="12" t="inlineStr">
        <is>
          <t>If the shower is the only bathing facility: 36 × 36 inches (915 × 915 mm) min. Clearance 48 inches (1220 mm) min perpendicular from the control wall × 30 inches (760 mm) min from the shower face</t>
        </is>
      </c>
      <c r="E33" s="12" t="inlineStr">
        <is>
          <t>Transfer shower as the only bath</t>
        </is>
      </c>
      <c r="F33" s="12" t="inlineStr">
        <is>
          <t>30 × 44 inches (760 × 1120 mm) permitted. Removable shower door assembly permitted</t>
        </is>
      </c>
      <c r="G33" s="11" t="inlineStr">
        <is>
          <t>Direct</t>
        </is>
      </c>
      <c r="H33" s="12" t="inlineStr">
        <is>
          <t>If a shower-only Type B bath, hold 915 × 915 mm with a 1220 × 760 mm clear</t>
        </is>
      </c>
      <c r="I33" s="11" t="inlineStr">
        <is>
          <t>Verified</t>
        </is>
      </c>
    </row>
    <row r="34" ht="40" customHeight="1">
      <c r="A34" s="9" t="inlineStr">
        <is>
          <t>7. Toilet and bathing facilities (blocking; Option A or B)</t>
        </is>
      </c>
      <c r="B34" s="9" t="inlineStr">
        <is>
          <t>1104.11.3.2.1.1</t>
        </is>
      </c>
      <c r="C34" s="9" t="inlineStr">
        <is>
          <t>Option B lavatory height</t>
        </is>
      </c>
      <c r="D34" s="9" t="inlineStr">
        <is>
          <t>Front of the lavatory 34 inches (865 mm) max AFF to the higher of rim or counter, plus Option A lavatory CFS</t>
        </is>
      </c>
      <c r="E34" s="9" t="inlineStr">
        <is>
          <t>Option B lavatory</t>
        </is>
      </c>
      <c r="F34" s="9" t="inlineStr">
        <is>
          <t>Option B fixtures must be in a single toilet/bathing area</t>
        </is>
      </c>
      <c r="G34" s="11" t="inlineStr">
        <is>
          <t>Direct</t>
        </is>
      </c>
      <c r="H34" s="9" t="inlineStr">
        <is>
          <t>Specify an 865 mm max lavatory with a centered parallel CFS</t>
        </is>
      </c>
      <c r="I34" s="11" t="inlineStr">
        <is>
          <t>Verified</t>
        </is>
      </c>
    </row>
    <row r="35" ht="40" customHeight="1">
      <c r="A35" s="12" t="inlineStr">
        <is>
          <t>7. Toilet and bathing facilities (blocking; Option A or B)</t>
        </is>
      </c>
      <c r="B35" s="12" t="inlineStr">
        <is>
          <t>1104.11.3.2.3.1</t>
        </is>
      </c>
      <c r="C35" s="12" t="inlineStr">
        <is>
          <t>Option B bathtub</t>
        </is>
      </c>
      <c r="D35" s="12" t="inlineStr">
        <is>
          <t>Clearance 48 inches (1220 mm) min perpendicular from the control end × 30 inches (760 mm) min width in front</t>
        </is>
      </c>
      <c r="E35" s="12" t="inlineStr">
        <is>
          <t>Option B bathtub</t>
        </is>
      </c>
      <c r="F35" s="12" t="inlineStr">
        <is>
          <t>Shower may be used instead (1104.11.3.1.3.3)</t>
        </is>
      </c>
      <c r="G35" s="11" t="inlineStr">
        <is>
          <t>Direct</t>
        </is>
      </c>
      <c r="H35" s="12" t="inlineStr">
        <is>
          <t>Hold 1220 × 760 mm in front of the Option B tub, measured from the control end</t>
        </is>
      </c>
      <c r="I35" s="11" t="inlineStr">
        <is>
          <t>Verified</t>
        </is>
      </c>
    </row>
    <row r="36" ht="40" customHeight="1">
      <c r="A36" s="9" t="inlineStr">
        <is>
          <t>8. Kitchens</t>
        </is>
      </c>
      <c r="B36" s="9" t="inlineStr">
        <is>
          <t>1104.12.1.1–1104.12.1.2</t>
        </is>
      </c>
      <c r="C36" s="9" t="inlineStr">
        <is>
          <t>Kitchen work-aisle clearance</t>
        </is>
      </c>
      <c r="D36" s="9" t="inlineStr">
        <is>
          <t>40 inches (1015 mm) min between opposing bases/counters/appliances/walls. U-shape: 60 inches (1525 mm) min</t>
        </is>
      </c>
      <c r="E36" s="9" t="inlineStr">
        <is>
          <t>Type B kitchens</t>
        </is>
      </c>
      <c r="F36" s="9" t="inlineStr">
        <is>
          <t>U-shape with an island may use the 1015 mm aisle</t>
        </is>
      </c>
      <c r="G36" s="11" t="inlineStr">
        <is>
          <t>Direct</t>
        </is>
      </c>
      <c r="H36" s="9" t="inlineStr">
        <is>
          <t>Hold 1015 mm (1525 mm if U-shaped)</t>
        </is>
      </c>
      <c r="I36" s="11" t="inlineStr">
        <is>
          <t>Verified</t>
        </is>
      </c>
    </row>
    <row r="37" ht="56" customHeight="1">
      <c r="A37" s="12" t="inlineStr">
        <is>
          <t>8. Kitchens</t>
        </is>
      </c>
      <c r="B37" s="12" t="inlineStr">
        <is>
          <t>1104.12.2.1</t>
        </is>
      </c>
      <c r="C37" s="12" t="inlineStr">
        <is>
          <t>Sink CFS</t>
        </is>
      </c>
      <c r="D37" s="12" t="inlineStr">
        <is>
          <t>Parallel-approach CFS centered on the sink bowl, sized per 1104.1.1 (48 × 30 inches (1220 × 760 mm))</t>
        </is>
      </c>
      <c r="E37" s="12" t="inlineStr">
        <is>
          <t>Type B kitchen sink</t>
        </is>
      </c>
      <c r="F37" s="12" t="inlineStr">
        <is>
          <t>Forward sink per 1103.12.4.1 permitted</t>
        </is>
      </c>
      <c r="G37" s="11" t="inlineStr">
        <is>
          <t>Direct</t>
        </is>
      </c>
      <c r="H37" s="12" t="inlineStr">
        <is>
          <t>Center a 1220 × 760 mm parallel CFS on the sink; do not require Type A knee space unless the forward option is used</t>
        </is>
      </c>
      <c r="I37" s="11" t="inlineStr">
        <is>
          <t>Verified</t>
        </is>
      </c>
    </row>
    <row r="38" ht="72" customHeight="1">
      <c r="A38" s="9" t="inlineStr">
        <is>
          <t>8. Kitchens</t>
        </is>
      </c>
      <c r="B38" s="9" t="inlineStr">
        <is>
          <t>1104.12.2.2–1104.12.2.4</t>
        </is>
      </c>
      <c r="C38" s="9" t="inlineStr">
        <is>
          <t>Appliance CFS</t>
        </is>
      </c>
      <c r="D38" s="9" t="inlineStr">
        <is>
          <t>Parallel or forward CFS at dishwasher, cooktop and oven. Dishwasher/oven doors shall not obstruct their CFS. Cooktop forward needs 306 and insulated underside; parallel CFS centered</t>
        </is>
      </c>
      <c r="E38" s="9" t="inlineStr">
        <is>
          <t>Kitchen appliances where provided</t>
        </is>
      </c>
      <c r="F38" s="9" t="inlineStr">
        <is>
          <t>None stated</t>
        </is>
      </c>
      <c r="G38" s="11" t="inlineStr">
        <is>
          <t>Direct</t>
        </is>
      </c>
      <c r="H38" s="9" t="inlineStr">
        <is>
          <t>Park a 1220 × 760 mm CFS at each appliance; keep door swings clear</t>
        </is>
      </c>
      <c r="I38" s="11" t="inlineStr">
        <is>
          <t>Verified</t>
        </is>
      </c>
    </row>
    <row r="39" ht="56" customHeight="1">
      <c r="A39" s="12" t="inlineStr">
        <is>
          <t>8. Kitchens</t>
        </is>
      </c>
      <c r="B39" s="12" t="inlineStr">
        <is>
          <t>1104.12.2.5.2–1104.12.2.5.3</t>
        </is>
      </c>
      <c r="C39" s="12" t="inlineStr">
        <is>
          <t>Refrigerator CFS offset</t>
        </is>
      </c>
      <c r="D39" s="12" t="inlineStr">
        <is>
          <t>Forward approach: CFS centerline offset 15 inches (380 mm) max from the appliance centerline. Parallel approach: offset 24 inches (610 mm) max</t>
        </is>
      </c>
      <c r="E39" s="12" t="inlineStr">
        <is>
          <t>Refrigerator/freezer</t>
        </is>
      </c>
      <c r="F39" s="12" t="inlineStr">
        <is>
          <t>None stated</t>
        </is>
      </c>
      <c r="G39" s="11" t="inlineStr">
        <is>
          <t>Direct</t>
        </is>
      </c>
      <c r="H39" s="12" t="inlineStr">
        <is>
          <t>Align the 1220 × 760 mm CFS within 380 mm (forward) or 610 mm (parallel) of the fridge centerline</t>
        </is>
      </c>
      <c r="I39" s="11" t="inlineStr">
        <is>
          <t>Verified</t>
        </is>
      </c>
    </row>
    <row r="40" ht="40" customHeight="1">
      <c r="A40" s="9" t="inlineStr">
        <is>
          <t>8. Kitchens</t>
        </is>
      </c>
      <c r="B40" s="9" t="inlineStr">
        <is>
          <t>1104.12.2.6</t>
        </is>
      </c>
      <c r="C40" s="9" t="inlineStr">
        <is>
          <t>Trash-compactor CFS</t>
        </is>
      </c>
      <c r="D40" s="9" t="inlineStr">
        <is>
          <t>Parallel or forward CFS</t>
        </is>
      </c>
      <c r="E40" s="9" t="inlineStr">
        <is>
          <t>Trash compactor where provided</t>
        </is>
      </c>
      <c r="F40" s="9" t="inlineStr">
        <is>
          <t>None stated</t>
        </is>
      </c>
      <c r="G40" s="13" t="inlineStr">
        <is>
          <t>Conditional</t>
        </is>
      </c>
      <c r="H40" s="9" t="inlineStr">
        <is>
          <t>If a compactor is provided, park a 1220 × 760 mm CFS</t>
        </is>
      </c>
      <c r="I40" s="11" t="inlineStr">
        <is>
          <t>Verified</t>
        </is>
      </c>
    </row>
    <row r="41" ht="56" customHeight="1">
      <c r="A41" s="12" t="inlineStr">
        <is>
          <t>9. Laundry equipment</t>
        </is>
      </c>
      <c r="B41" s="12" t="inlineStr">
        <is>
          <t>1104.10.1</t>
        </is>
      </c>
      <c r="C41" s="12" t="inlineStr">
        <is>
          <t>Laundry clear floor space</t>
        </is>
      </c>
      <c r="D41" s="12" t="inlineStr">
        <is>
          <t>CFS at each washer and dryer (1104.1.1 48 × 30 inches (1220 × 760 mm)). Parallel approach at top-load. Forward or parallel at front-load</t>
        </is>
      </c>
      <c r="E41" s="12" t="inlineStr">
        <is>
          <t>In-unit laundry</t>
        </is>
      </c>
      <c r="F41" s="12" t="inlineStr">
        <is>
          <t>611 height/operable-part millimetres are not charged by 1104.10</t>
        </is>
      </c>
      <c r="G41" s="13" t="inlineStr">
        <is>
          <t>Conditional</t>
        </is>
      </c>
      <c r="H41" s="12" t="inlineStr">
        <is>
          <t>If in-unit laundry exists, provide a 1220 × 760 mm CFS (parallel at top-load)</t>
        </is>
      </c>
      <c r="I41" s="11" t="inlineStr">
        <is>
          <t>Verified</t>
        </is>
      </c>
    </row>
    <row r="42" ht="88" customHeight="1">
      <c r="A42" s="9" t="inlineStr">
        <is>
          <t>10. In-unit ramps, elevators and platform lifts</t>
        </is>
      </c>
      <c r="B42" s="9" t="inlineStr">
        <is>
          <t>1104.6 / 405.2–405.8</t>
        </is>
      </c>
      <c r="C42" s="9" t="inlineStr">
        <is>
          <t>Ramp geometry</t>
        </is>
      </c>
      <c r="D42" s="9" t="inlineStr">
        <is>
          <t>Slope steeper than 1:20 and not steeper than 1:12. Cross slope 1:48. Width 36 inches (915 mm) min. Rise 30 inches (760 mm) max per run. Landings 60 inches (1525 mm) min; direction-change 60 × 60 inches (1525 × 1525 mm). Handrails where rise &gt; 6 inches (150 mm)</t>
        </is>
      </c>
      <c r="E42" s="9" t="inlineStr">
        <is>
          <t>Ramps inside the Type B unit</t>
        </is>
      </c>
      <c r="F42" s="9" t="inlineStr">
        <is>
          <t>Table 405.2 flattened: no cell adopted</t>
        </is>
      </c>
      <c r="G42" s="13" t="inlineStr">
        <is>
          <t>Conditional</t>
        </is>
      </c>
      <c r="H42" s="9" t="inlineStr">
        <is>
          <t>If a unit ramp exists, hold 1:12, 915 mm and 1525 mm landings</t>
        </is>
      </c>
      <c r="I42" s="11" t="inlineStr">
        <is>
          <t>Verified</t>
        </is>
      </c>
    </row>
    <row r="43" ht="56" customHeight="1">
      <c r="A43" s="12" t="inlineStr">
        <is>
          <t>10. In-unit ramps, elevators and platform lifts</t>
        </is>
      </c>
      <c r="B43" s="12" t="inlineStr">
        <is>
          <t>1104.7 Exception</t>
        </is>
      </c>
      <c r="C43" s="12" t="inlineStr">
        <is>
          <t>Private-residence elevator car</t>
        </is>
      </c>
      <c r="D43" s="12" t="inlineStr">
        <is>
          <t>Private residence elevators: clear floor 48 inches (1220 mm) min length × 36 inches (760 mm) min width</t>
        </is>
      </c>
      <c r="E43" s="12" t="inlineStr">
        <is>
          <t>Private residence elevator serving the Type B unit</t>
        </is>
      </c>
      <c r="F43" s="12" t="inlineStr">
        <is>
          <t>Full 407/408/409 otherwise. Table 407.4.1 flattened: no destination-car cell adopted. Note: the printed width millimetre is (760 mm) beside 36 inches</t>
        </is>
      </c>
      <c r="G43" s="11" t="inlineStr">
        <is>
          <t>Direct</t>
        </is>
      </c>
      <c r="H43" s="12" t="inlineStr">
        <is>
          <t>If a private elevator is used, hold 1220 × 760 mm clear inside the car</t>
        </is>
      </c>
      <c r="I43" s="11" t="inlineStr">
        <is>
          <t>Verified</t>
        </is>
      </c>
    </row>
    <row r="44" ht="56" customHeight="1">
      <c r="A44" s="9" t="inlineStr">
        <is>
          <t>10. In-unit ramps, elevators and platform lifts</t>
        </is>
      </c>
      <c r="B44" s="9" t="inlineStr">
        <is>
          <t>1104.8 Exception</t>
        </is>
      </c>
      <c r="C44" s="9" t="inlineStr">
        <is>
          <t>Platform-lift size</t>
        </is>
      </c>
      <c r="D44" s="9" t="inlineStr">
        <is>
          <t>Lifts with a single door or opposite-end doors: 36 inches (915 mm) min width × 48 inches (1220 mm) min length</t>
        </is>
      </c>
      <c r="E44" s="9" t="inlineStr">
        <is>
          <t>Platform lifts inside the Type B unit</t>
        </is>
      </c>
      <c r="F44" s="9" t="inlineStr">
        <is>
          <t>Full 410 otherwise (new opposite-end 36 × 52 inches (915 × 1320 mm))</t>
        </is>
      </c>
      <c r="G44" s="13" t="inlineStr">
        <is>
          <t>Conditional</t>
        </is>
      </c>
      <c r="H44" s="9" t="inlineStr">
        <is>
          <t>If a Type B lift exception is used, hold 915 × 1220 mm</t>
        </is>
      </c>
      <c r="I44" s="11" t="inlineStr">
        <is>
          <t>Verified</t>
        </is>
      </c>
    </row>
    <row r="45" ht="72" customHeight="1">
      <c r="A45" s="12" t="inlineStr">
        <is>
          <t>11. Communication-feature overlay</t>
        </is>
      </c>
      <c r="B45" s="12" t="inlineStr">
        <is>
          <t>1106.2–1106.4 / 702.1</t>
        </is>
      </c>
      <c r="C45" s="12" t="inlineStr">
        <is>
          <t>Visible/audible notification</t>
        </is>
      </c>
      <c r="D45" s="12" t="inlineStr">
        <is>
          <t>Unit smoke audible per NFPA 72. Building alarm wiring extended into the unit. Visibles, where provided, comply with 702 (dwelling visibles may use 1106.2–1106.4.4)</t>
        </is>
      </c>
      <c r="E45" s="12" t="inlineStr">
        <is>
          <t>Type B units also scoped for communication features</t>
        </is>
      </c>
      <c r="F45" s="12" t="inlineStr">
        <is>
          <t>NFPA 72 spacing not in Chapter 7 extract</t>
        </is>
      </c>
      <c r="G45" s="13" t="inlineStr">
        <is>
          <t>Conditional</t>
        </is>
      </c>
      <c r="H45" s="12" t="inlineStr">
        <is>
          <t>Extend alarm wiring and provide 702/1106 visibles; this does not replace 1104 geometry</t>
        </is>
      </c>
      <c r="I45" s="11" t="inlineStr">
        <is>
          <t>Verified</t>
        </is>
      </c>
    </row>
    <row r="46" ht="72" customHeight="1">
      <c r="A46" s="9" t="inlineStr">
        <is>
          <t>11. Communication-feature overlay</t>
        </is>
      </c>
      <c r="B46" s="9" t="inlineStr">
        <is>
          <t>1106.5.1–1106.5.2</t>
        </is>
      </c>
      <c r="C46" s="9" t="inlineStr">
        <is>
          <t>Doorbell and visitor ID</t>
        </is>
      </c>
      <c r="D46" s="9" t="inlineStr">
        <is>
          <t>Hard-wired doorbell; public-side button; audible in the unit; sleeping-area visible-signal deactivation. Visual ID without opening the door; peepholes 180-degree min</t>
        </is>
      </c>
      <c r="E46" s="9" t="inlineStr">
        <is>
          <t>Comms-unit primary entrance</t>
        </is>
      </c>
      <c r="F46" s="9" t="inlineStr">
        <is>
          <t>None stated</t>
        </is>
      </c>
      <c r="G46" s="13" t="inlineStr">
        <is>
          <t>Conditional</t>
        </is>
      </c>
      <c r="H46" s="9" t="inlineStr">
        <is>
          <t>Specify a hard-wired doorbell and 180° viewer</t>
        </is>
      </c>
      <c r="I46" s="11" t="inlineStr">
        <is>
          <t>Verified</t>
        </is>
      </c>
    </row>
    <row r="47" ht="40" customHeight="1">
      <c r="A47" s="12" t="inlineStr">
        <is>
          <t>11. Communication-feature overlay</t>
        </is>
      </c>
      <c r="B47" s="12" t="inlineStr">
        <is>
          <t>1106.6–1106.7</t>
        </is>
      </c>
      <c r="C47" s="12" t="inlineStr">
        <is>
          <t>Remote entry voice/TTY</t>
        </is>
      </c>
      <c r="D47" s="12" t="inlineStr">
        <is>
          <t>Public interface supports voice and TTY; unit interface has a telephone jack supporting voice and TTY</t>
        </is>
      </c>
      <c r="E47" s="12" t="inlineStr">
        <is>
          <t>Remote visitor communication</t>
        </is>
      </c>
      <c r="F47" s="12" t="inlineStr">
        <is>
          <t>None stated</t>
        </is>
      </c>
      <c r="G47" s="13" t="inlineStr">
        <is>
          <t>Conditional</t>
        </is>
      </c>
      <c r="H47" s="12" t="inlineStr">
        <is>
          <t>If a lobby video-phone exists, provide a TTY-capable jack</t>
        </is>
      </c>
      <c r="I47" s="11" t="inlineStr">
        <is>
          <t>Verified</t>
        </is>
      </c>
    </row>
  </sheetData>
  <mergeCells count="2">
    <mergeCell ref="A1:I1"/>
    <mergeCell ref="A2:I2"/>
  </mergeCells>
  <conditionalFormatting sqref="G5:G47">
    <cfRule type="expression" priority="1" dxfId="0">
      <formula>G5="Direct"</formula>
    </cfRule>
    <cfRule type="expression" priority="3" dxfId="1">
      <formula>G5="Conditional"</formula>
    </cfRule>
    <cfRule type="expression" priority="5" dxfId="2">
      <formula>G5="External verification"</formula>
    </cfRule>
    <cfRule type="expression" priority="7" dxfId="3">
      <formula>G5="Not typical"</formula>
    </cfRule>
    <cfRule type="expression" priority="9" dxfId="0">
      <formula>G5="Verified"</formula>
    </cfRule>
    <cfRule type="expression" priority="11" dxfId="4">
      <formula>G5="Verify source"</formula>
    </cfRule>
  </conditionalFormatting>
  <conditionalFormatting sqref="I5:I47">
    <cfRule type="expression" priority="2" dxfId="0">
      <formula>I5="Direct"</formula>
    </cfRule>
    <cfRule type="expression" priority="4" dxfId="1">
      <formula>I5="Conditional"</formula>
    </cfRule>
    <cfRule type="expression" priority="6" dxfId="2">
      <formula>I5="External verification"</formula>
    </cfRule>
    <cfRule type="expression" priority="8" dxfId="3">
      <formula>I5="Not typical"</formula>
    </cfRule>
    <cfRule type="expression" priority="10" dxfId="0">
      <formula>I5="Verified"</formula>
    </cfRule>
    <cfRule type="expression" priority="12" dxfId="4">
      <formula>I5="Verify source"</formula>
    </cfRule>
  </conditionalFormatting>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B8"/>
  <sheetViews>
    <sheetView showGridLines="0" workbookViewId="0">
      <pane ySplit="3" topLeftCell="A4" activePane="bottomLeft" state="frozen"/>
      <selection pane="bottomLeft" activeCell="A1" sqref="A1"/>
    </sheetView>
  </sheetViews>
  <sheetFormatPr baseColWidth="8" defaultRowHeight="15"/>
  <cols>
    <col width="8" customWidth="1" min="1" max="1"/>
    <col width="140" customWidth="1" min="2" max="2"/>
  </cols>
  <sheetData>
    <row r="1">
      <c r="A1" s="10" t="inlineStr">
        <is>
          <t>Project-use controls</t>
        </is>
      </c>
    </row>
    <row r="3" ht="28" customHeight="1">
      <c r="A3" s="3" t="inlineStr">
        <is>
          <t>#</t>
        </is>
      </c>
      <c r="B3" s="3" t="inlineStr">
        <is>
          <t>Control</t>
        </is>
      </c>
    </row>
    <row r="4" ht="28" customHeight="1">
      <c r="A4" s="7" t="n">
        <v>1</v>
      </c>
      <c r="B4" s="5" t="inlineStr">
        <is>
          <t>Use Verified rows as design-release geometry for Type B apartment typicals.</t>
        </is>
      </c>
    </row>
    <row r="5" ht="40" customHeight="1">
      <c r="A5" s="8" t="n">
        <v>2</v>
      </c>
      <c r="B5" s="9" t="inlineStr">
        <is>
          <t>Do not use Verify source rows (flattened Table 404.2.3.2 cells beyond the printed 1104.5.1 48 in exceptions; Tables 405.2 and 407.4.1) until a readable source is confirmed.</t>
        </is>
      </c>
    </row>
    <row r="6" ht="28" customHeight="1">
      <c r="A6" s="7" t="n">
        <v>3</v>
      </c>
      <c r="B6" s="5" t="inlineStr">
        <is>
          <t>Do not draw Accessible/Type A 404 latch-side manoeuvre, 32 in interior doors, 52 in CFS, or 67 in room-wide turning inside Type B units.</t>
        </is>
      </c>
    </row>
    <row r="7" ht="28" customHeight="1">
      <c r="A7" s="8" t="n">
        <v>4</v>
      </c>
      <c r="B7" s="9" t="inlineStr">
        <is>
          <t>Grab bars are blocking, not in place.</t>
        </is>
      </c>
    </row>
    <row r="8" ht="28" customHeight="1">
      <c r="A8" s="7" t="n">
        <v>5</v>
      </c>
      <c r="B8" s="5" t="inlineStr">
        <is>
          <t>R-1 hotel application remains Conditional until residential occupancy is confirmed.</t>
        </is>
      </c>
    </row>
  </sheetData>
  <mergeCells count="1">
    <mergeCell ref="A1:B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E17"/>
  <sheetViews>
    <sheetView showGridLines="0" workbookViewId="0">
      <pane ySplit="3" topLeftCell="A4" activePane="bottomLeft" state="frozen"/>
      <selection pane="bottomLeft" activeCell="A1" sqref="A1"/>
    </sheetView>
  </sheetViews>
  <sheetFormatPr baseColWidth="8" defaultRowHeight="15"/>
  <cols>
    <col width="52" customWidth="1" min="1" max="1"/>
    <col width="18" customWidth="1" min="2" max="2"/>
    <col width="24" customWidth="1" min="3" max="3"/>
    <col width="18" customWidth="1" min="4" max="4"/>
    <col width="24" customWidth="1" min="5" max="5"/>
  </cols>
  <sheetData>
    <row r="1">
      <c r="A1" s="10" t="inlineStr">
        <is>
          <t>Coverage summary</t>
        </is>
      </c>
    </row>
    <row r="2" ht="48" customHeight="1">
      <c r="A2" s="17" t="inlineStr">
        <is>
          <t>numbered Chapter 11 code (1104, 1106 overlay), exceptions, charged companion paragraphs/footnotes from Chapters 3–6 and 9. INSIGHTS, figures and commentary excluded. Type C omitted. Accessible/Type A-only 804 kitchens, 611 height, 1102.15 beds and full 404 interior manoeuvre omitted as not charged.</t>
        </is>
      </c>
    </row>
    <row r="4" ht="28" customHeight="1">
      <c r="A4" s="3" t="inlineStr">
        <is>
          <t>Metric</t>
        </is>
      </c>
      <c r="B4" s="3" t="inlineStr">
        <is>
          <t>Value</t>
        </is>
      </c>
    </row>
    <row r="5">
      <c r="A5" s="18" t="inlineStr">
        <is>
          <t>Inventory scope</t>
        </is>
      </c>
      <c r="B5" s="19" t="inlineStr">
        <is>
          <t>numbered Chapter 11 code (1104, 1106 overlay), exceptions, charged companion paragraphs/footnotes from Chapters 3–6 and 9. INSIGHTS, figures and commentary excluded. Type C omitted. Accessible/Type A-only 804 kitchens, 611 height, 1102.15 beds and full 404 interior manoeuvre omitted as not charged.</t>
        </is>
      </c>
    </row>
    <row r="6">
      <c r="A6" s="18" t="inlineStr">
        <is>
          <t>Total independently checkable numeric records</t>
        </is>
      </c>
      <c r="B6" s="20" t="n">
        <v>198</v>
      </c>
    </row>
    <row r="7">
      <c r="A7" s="21" t="inlineStr">
        <is>
          <t>Verified</t>
        </is>
      </c>
      <c r="B7" s="22" t="n">
        <v>186</v>
      </c>
    </row>
    <row r="8">
      <c r="A8" s="23" t="inlineStr">
        <is>
          <t>Verify source</t>
        </is>
      </c>
      <c r="B8" s="24" t="n">
        <v>12</v>
      </c>
    </row>
    <row r="11">
      <c r="A11" s="6" t="inlineStr">
        <is>
          <t>Counts by top-level section</t>
        </is>
      </c>
    </row>
    <row r="12" ht="28" customHeight="1">
      <c r="A12" s="3" t="inlineStr">
        <is>
          <t>Top-level section</t>
        </is>
      </c>
      <c r="B12" s="3" t="inlineStr">
        <is>
          <t>Numeric records</t>
        </is>
      </c>
    </row>
    <row r="13" ht="28" customHeight="1">
      <c r="A13" s="12" t="inlineStr">
        <is>
          <t>1104 local + 1106 overlay</t>
        </is>
      </c>
      <c r="B13" s="25" t="n">
        <v>78</v>
      </c>
    </row>
    <row r="14" ht="28" customHeight="1">
      <c r="A14" s="9" t="inlineStr">
        <is>
          <t>303 / 306 / 308 / 309.3</t>
        </is>
      </c>
      <c r="B14" s="26" t="n">
        <v>22</v>
      </c>
    </row>
    <row r="15" ht="40" customHeight="1">
      <c r="A15" s="12" t="inlineStr">
        <is>
          <t>403.5 / 404 primary (paragraphs + footnotes; tables held)</t>
        </is>
      </c>
      <c r="B15" s="25" t="n">
        <v>38</v>
      </c>
    </row>
    <row r="16" ht="28" customHeight="1">
      <c r="A16" s="9" t="inlineStr">
        <is>
          <t>405 / 407–410 ramps and vertical</t>
        </is>
      </c>
      <c r="B16" s="26" t="n">
        <v>24</v>
      </c>
    </row>
    <row r="17" ht="28" customHeight="1">
      <c r="A17" s="12" t="inlineStr">
        <is>
          <t>604.5 / 606–609 blocking geometry</t>
        </is>
      </c>
      <c r="B17" s="25" t="n">
        <v>36</v>
      </c>
    </row>
  </sheetData>
  <mergeCells count="3">
    <mergeCell ref="A2:E2"/>
    <mergeCell ref="A1:E1"/>
    <mergeCell ref="A11:B11"/>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fitToPage="1"/>
  </sheetPr>
  <dimension ref="A1:C10"/>
  <sheetViews>
    <sheetView showGridLines="0" workbookViewId="0">
      <pane ySplit="3" topLeftCell="A4" activePane="bottomLeft" state="frozen"/>
      <selection pane="bottomLeft" activeCell="A1" sqref="A1"/>
    </sheetView>
  </sheetViews>
  <sheetFormatPr baseColWidth="8" defaultRowHeight="15"/>
  <cols>
    <col width="42" customWidth="1" min="1" max="1"/>
    <col width="52" customWidth="1" min="2" max="2"/>
    <col width="72" customWidth="1" min="3" max="3"/>
  </cols>
  <sheetData>
    <row r="1" ht="24" customHeight="1">
      <c r="A1" s="10" t="inlineStr">
        <is>
          <t>Unresolved-source register</t>
        </is>
      </c>
    </row>
    <row r="2" ht="36" customHeight="1">
      <c r="A2" s="17" t="inlineStr">
        <is>
          <t>Hold points for Verify source records. No value in this register is a design-release figure.</t>
        </is>
      </c>
    </row>
    <row r="3" ht="28" customHeight="1">
      <c r="A3" s="3" t="inlineStr">
        <is>
          <t>Affected table / clause</t>
        </is>
      </c>
      <c r="B3" s="3" t="inlineStr">
        <is>
          <t>Why unverified</t>
        </is>
      </c>
      <c r="C3" s="3" t="inlineStr">
        <is>
          <t>Control note</t>
        </is>
      </c>
    </row>
    <row r="4" ht="40" customHeight="1">
      <c r="A4" s="12" t="inlineStr">
        <is>
          <t>Table 404.2.3.2 (primary door, non-front approaches)</t>
        </is>
      </c>
      <c r="B4" s="12" t="inlineStr">
        <is>
          <t>Flattened swinging-door blob</t>
        </is>
      </c>
      <c r="C4" s="12" t="inlineStr">
        <is>
          <t>1104.5.1 Exceptions 2–4 lock front perpendicular at 48 inches (1220 mm); do not adopt other reconstructed cells</t>
        </is>
      </c>
    </row>
    <row r="5" ht="28" customHeight="1">
      <c r="A5" s="9" t="inlineStr">
        <is>
          <t>Table 405.2</t>
        </is>
      </c>
      <c r="B5" s="9" t="inlineStr">
        <is>
          <t>Flattened existing-ramp blob</t>
        </is>
      </c>
      <c r="C5" s="9" t="inlineStr">
        <is>
          <t>New ramps use paragraph 1:12</t>
        </is>
      </c>
    </row>
    <row r="6" ht="40" customHeight="1">
      <c r="A6" s="12" t="inlineStr">
        <is>
          <t>Table 407.4.1</t>
        </is>
      </c>
      <c r="B6" s="12" t="inlineStr">
        <is>
          <t>Flattened destination-elevator blob</t>
        </is>
      </c>
      <c r="C6" s="12" t="inlineStr">
        <is>
          <t>Type B private-residence exception 48 × 36 inches (1220 × 760 mm) is Verified from 1104.7</t>
        </is>
      </c>
    </row>
    <row r="7" ht="40" customHeight="1">
      <c r="A7" s="9" t="inlineStr">
        <is>
          <t>609.4</t>
        </is>
      </c>
      <c r="B7" s="9" t="inlineStr">
        <is>
          <t>Adult grab-bar height paragraph missing/garbled</t>
        </is>
      </c>
      <c r="C7" s="9" t="inlineStr">
        <is>
          <t>Blocking length/location from 604.5 / 1104.11.1 is Verified; confirm AFF from a readable 609.4 when bars are installed</t>
        </is>
      </c>
    </row>
    <row r="8" ht="28" customHeight="1">
      <c r="A8" s="12" t="inlineStr">
        <is>
          <t>702 / NFPA 72</t>
        </is>
      </c>
      <c r="B8" s="12" t="inlineStr">
        <is>
          <t>No millimetre spacing in Chapter 7</t>
        </is>
      </c>
      <c r="C8" s="12" t="inlineStr">
        <is>
          <t>Visible layout remains NFPA 72</t>
        </is>
      </c>
    </row>
    <row r="9" ht="28" customHeight="1">
      <c r="A9" s="9" t="inlineStr">
        <is>
          <t>ASME A17.1 / BHMA A156</t>
        </is>
      </c>
      <c r="B9" s="9" t="inlineStr">
        <is>
          <t>Named only</t>
        </is>
      </c>
      <c r="C9" s="9" t="inlineStr">
        <is>
          <t>Do not import unstated values</t>
        </is>
      </c>
    </row>
    <row r="10" ht="40" customHeight="1">
      <c r="A10" s="12" t="inlineStr">
        <is>
          <t>1104.7 Exception SI</t>
        </is>
      </c>
      <c r="B10" s="12" t="inlineStr">
        <is>
          <t>Source prints 36 inches (760 mm) for private-elevator width</t>
        </is>
      </c>
      <c r="C10" s="12" t="inlineStr">
        <is>
          <t>Keep the published pair; do not “correct” to 915 mm</t>
        </is>
      </c>
    </row>
  </sheetData>
  <mergeCells count="2">
    <mergeCell ref="A1:C1"/>
    <mergeCell ref="A2:C2"/>
  </mergeCells>
  <pageMargins left="0.4" right="0.4" top="0.5" bottom="0.5" header="0.25" footer="0.25"/>
  <pageSetup orientation="landscape" paperSize="8" fitToHeight="0" fitToWidth="1"/>
  <headerFooter>
    <oddHeader/>
    <oddFooter>&amp;LSource-only advisory matrix — not a stamped compliance document&amp;RPage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Cursor Grok 4.6</dc:creator>
  <dc:title xmlns:dc="http://purl.org/dc/elements/1.1/">ICC A117.1 Chapter 11 Dwelling Units and Sleeping Units — Type B Dimensional Requirements Matrix (2017)</dc:title>
  <dc:description xmlns:dc="http://purl.org/dc/elements/1.1/">Source-only architectural advisory matrix. Not a stamped compliance document.</dc:description>
  <dc:subject xmlns:dc="http://purl.org/dc/elements/1.1/">ICC A117.1 Chapter 11 Dwelling Units and Sleeping Units — Type B Dimensional Requirements Matrix (2017)</dc:subject>
  <dcterms:created xmlns:dcterms="http://purl.org/dc/terms/" xmlns:xsi="http://www.w3.org/2001/XMLSchema-instance" xsi:type="dcterms:W3CDTF">2026-08-28T04:43:39Z</dcterms:created>
  <dcterms:modified xmlns:dcterms="http://purl.org/dc/terms/" xmlns:xsi="http://www.w3.org/2001/XMLSchema-instance" xsi:type="dcterms:W3CDTF">2026-08-28T04:43:39Z</dcterms:modified>
</cp:coreProperties>
</file>