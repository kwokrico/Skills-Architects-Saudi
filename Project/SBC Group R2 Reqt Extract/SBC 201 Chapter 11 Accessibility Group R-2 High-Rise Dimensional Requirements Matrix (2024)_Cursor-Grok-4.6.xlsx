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7.xml" ContentType="application/vnd.openxmlformats-officedocument.spreadsheetml.worksheet+xml"/>
  <Override PartName="/xl/tables/table11.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Cover" sheetId="1" state="visible" r:id="rId1"/>
    <sheet xmlns:r="http://schemas.openxmlformats.org/officeDocument/2006/relationships" name="02 Legends" sheetId="2" state="visible" r:id="rId2"/>
    <sheet xmlns:r="http://schemas.openxmlformats.org/officeDocument/2006/relationships" name="03 Gap Register" sheetId="3" state="visible" r:id="rId3"/>
    <sheet xmlns:r="http://schemas.openxmlformats.org/officeDocument/2006/relationships" name="04 Requirements Matrix" sheetId="4" state="visible" r:id="rId4"/>
    <sheet xmlns:r="http://schemas.openxmlformats.org/officeDocument/2006/relationships" name="05 Project-use Controls" sheetId="5" state="visible" r:id="rId5"/>
    <sheet xmlns:r="http://schemas.openxmlformats.org/officeDocument/2006/relationships" name="06 Coverage Summary" sheetId="6" state="visible" r:id="rId6"/>
    <sheet xmlns:r="http://schemas.openxmlformats.org/officeDocument/2006/relationships" name="07 Unresolved Source" sheetId="7" state="visible" r:id="rId7"/>
  </sheets>
  <definedNames>
    <definedName name="_xlnm.Print_Titles" localSheetId="0">'01 Cover'!$1:$2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B365D"/>
      <sz val="16"/>
    </font>
    <font>
      <name val="Calibri"/>
      <b val="1"/>
      <color rgb="00FFFFFF"/>
      <sz val="10"/>
    </font>
    <font>
      <name val="Calibri"/>
      <b val="1"/>
      <color rgb="001B365D"/>
      <sz val="10"/>
    </font>
    <font>
      <name val="Calibri"/>
      <color rgb="00222222"/>
      <sz val="10"/>
    </font>
    <font>
      <name val="Calibri"/>
      <b val="1"/>
      <color rgb="001B365D"/>
      <sz val="12"/>
    </font>
    <font>
      <name val="Calibri"/>
      <b val="1"/>
      <color rgb="00006100"/>
      <sz val="10"/>
    </font>
    <font>
      <name val="Calibri"/>
      <b val="1"/>
      <color rgb="007F6000"/>
      <sz val="10"/>
    </font>
    <font>
      <name val="Calibri"/>
      <b val="1"/>
      <color rgb="00595959"/>
      <sz val="10"/>
    </font>
    <font>
      <name val="Calibri"/>
      <b val="1"/>
      <color rgb="001F4E79"/>
      <sz val="10"/>
    </font>
    <font>
      <name val="Calibri"/>
      <b val="1"/>
      <color rgb="00C65911"/>
      <sz val="10"/>
    </font>
  </fonts>
  <fills count="12">
    <fill>
      <patternFill/>
    </fill>
    <fill>
      <patternFill patternType="gray125"/>
    </fill>
    <fill>
      <patternFill patternType="solid">
        <fgColor rgb="007B2D26"/>
      </patternFill>
    </fill>
    <fill>
      <patternFill patternType="solid">
        <fgColor rgb="001B365D"/>
      </patternFill>
    </fill>
    <fill>
      <patternFill patternType="solid">
        <fgColor rgb="00F4F6F8"/>
      </patternFill>
    </fill>
    <fill>
      <patternFill patternType="solid">
        <fgColor rgb="00EEF2F6"/>
      </patternFill>
    </fill>
    <fill>
      <patternFill patternType="solid">
        <fgColor rgb="00FFFFFF"/>
      </patternFill>
    </fill>
    <fill>
      <patternFill patternType="solid">
        <fgColor rgb="00C6EFCE"/>
      </patternFill>
    </fill>
    <fill>
      <patternFill patternType="solid">
        <fgColor rgb="00FFF2CC"/>
      </patternFill>
    </fill>
    <fill>
      <patternFill patternType="solid">
        <fgColor rgb="00E7E6E6"/>
      </patternFill>
    </fill>
    <fill>
      <patternFill patternType="solid">
        <fgColor rgb="00DDEBF7"/>
      </patternFill>
    </fill>
    <fill>
      <patternFill patternType="solid">
        <fgColor rgb="00FCE4D6"/>
      </patternFill>
    </fill>
  </fills>
  <borders count="2">
    <border>
      <left/>
      <right/>
      <top/>
      <bottom/>
      <diagonal/>
    </border>
    <border>
      <left style="thin">
        <color rgb="00C5CDD6"/>
      </left>
      <right style="thin">
        <color rgb="00C5CDD6"/>
      </right>
      <top style="thin">
        <color rgb="00C5CDD6"/>
      </top>
      <bottom style="thin">
        <color rgb="00C5CDD6"/>
      </bottom>
    </border>
  </borders>
  <cellStyleXfs count="1">
    <xf numFmtId="0" fontId="0" fillId="0" borderId="0"/>
  </cellStyleXfs>
  <cellXfs count="27">
    <xf numFmtId="0" fontId="0" fillId="0" borderId="0" pivotButton="0" quotePrefix="0" xfId="0"/>
    <xf numFmtId="0" fontId="1" fillId="0" borderId="0" applyAlignment="1" pivotButton="0" quotePrefix="0" xfId="0">
      <alignment vertical="center" wrapText="1"/>
    </xf>
    <xf numFmtId="0" fontId="2" fillId="2" borderId="0" applyAlignment="1" pivotButton="0" quotePrefix="0" xfId="0">
      <alignment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0" borderId="1" applyAlignment="1" pivotButton="0" quotePrefix="0" xfId="0">
      <alignment vertical="top" wrapText="1"/>
    </xf>
    <xf numFmtId="0" fontId="5" fillId="0" borderId="0" pivotButton="0" quotePrefix="0" xfId="0"/>
    <xf numFmtId="0" fontId="3" fillId="0"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5" borderId="1" applyAlignment="1" pivotButton="0" quotePrefix="0" xfId="0">
      <alignment vertical="top" wrapText="1"/>
    </xf>
    <xf numFmtId="0" fontId="1" fillId="0" borderId="0" pivotButton="0" quotePrefix="0" xfId="0"/>
    <xf numFmtId="0" fontId="6" fillId="7" borderId="1" applyAlignment="1" pivotButton="0" quotePrefix="0" xfId="0">
      <alignment horizontal="center" vertical="center" wrapText="1"/>
    </xf>
    <xf numFmtId="0" fontId="4" fillId="6" borderId="1" applyAlignment="1" pivotButton="0" quotePrefix="0" xfId="0">
      <alignment vertical="top" wrapText="1"/>
    </xf>
    <xf numFmtId="0" fontId="7"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9" fillId="10" borderId="1" applyAlignment="1" pivotButton="0" quotePrefix="0" xfId="0">
      <alignment horizontal="center" vertical="center" wrapText="1"/>
    </xf>
    <xf numFmtId="0" fontId="10" fillId="11" borderId="1" applyAlignment="1" pivotButton="0" quotePrefix="0" xfId="0">
      <alignment horizontal="center" vertical="center" wrapText="1"/>
    </xf>
    <xf numFmtId="0" fontId="4" fillId="0" borderId="0" applyAlignment="1" pivotButton="0" quotePrefix="0" xfId="0">
      <alignment vertical="top" wrapText="1"/>
    </xf>
    <xf numFmtId="0" fontId="3" fillId="0" borderId="1" pivotButton="0" quotePrefix="0" xfId="0"/>
    <xf numFmtId="0" fontId="4" fillId="0" borderId="1" pivotButton="0" quotePrefix="0" xfId="0"/>
    <xf numFmtId="0" fontId="4" fillId="0" borderId="1" applyAlignment="1" pivotButton="0" quotePrefix="0" xfId="0">
      <alignment horizontal="center" vertical="center"/>
    </xf>
    <xf numFmtId="0" fontId="3" fillId="7" borderId="1" pivotButton="0" quotePrefix="0" xfId="0"/>
    <xf numFmtId="0" fontId="4" fillId="7" borderId="1" applyAlignment="1" pivotButton="0" quotePrefix="0" xfId="0">
      <alignment horizontal="center" vertical="center"/>
    </xf>
    <xf numFmtId="0" fontId="3" fillId="11" borderId="1" pivotButton="0" quotePrefix="0" xfId="0"/>
    <xf numFmtId="0" fontId="4" fillId="11" borderId="1" applyAlignment="1" pivotButton="0" quotePrefix="0" xfId="0">
      <alignment horizontal="center" vertical="center"/>
    </xf>
    <xf numFmtId="1" fontId="4" fillId="6" borderId="1" applyAlignment="1" pivotButton="0" quotePrefix="0" xfId="0">
      <alignment vertical="top" wrapText="1"/>
    </xf>
    <xf numFmtId="1" fontId="4" fillId="5" borderId="1" applyAlignment="1" pivotButton="0" quotePrefix="0" xfId="0">
      <alignment vertical="top" wrapText="1"/>
    </xf>
  </cellXfs>
  <cellStyles count="1">
    <cellStyle name="Normal" xfId="0" builtinId="0" hidden="0"/>
  </cellStyles>
  <dxfs count="5">
    <dxf>
      <font>
        <name val="Calibri"/>
        <b val="1"/>
        <color rgb="00006100"/>
        <sz val="10"/>
      </font>
      <fill>
        <patternFill patternType="solid">
          <fgColor rgb="00C6EFCE"/>
        </patternFill>
      </fill>
    </dxf>
    <dxf>
      <font>
        <name val="Calibri"/>
        <b val="1"/>
        <color rgb="007F6000"/>
        <sz val="10"/>
      </font>
      <fill>
        <patternFill patternType="solid">
          <fgColor rgb="00FFF2CC"/>
        </patternFill>
      </fill>
    </dxf>
    <dxf>
      <font>
        <name val="Calibri"/>
        <b val="1"/>
        <color rgb="001F4E79"/>
        <sz val="10"/>
      </font>
      <fill>
        <patternFill patternType="solid">
          <fgColor rgb="00DDEBF7"/>
        </patternFill>
      </fill>
    </dxf>
    <dxf>
      <font>
        <name val="Calibri"/>
        <b val="1"/>
        <color rgb="00595959"/>
        <sz val="10"/>
      </font>
      <fill>
        <patternFill patternType="solid">
          <fgColor rgb="00E7E6E6"/>
        </patternFill>
      </fill>
    </dxf>
    <dxf>
      <font>
        <name val="Calibri"/>
        <b val="1"/>
        <color rgb="00C65911"/>
        <sz val="10"/>
      </font>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Numeric records by top-level section</a:t>
            </a:r>
          </a:p>
        </rich>
      </tx>
    </title>
    <plotArea>
      <barChart>
        <barDir val="bar"/>
        <grouping val="clustered"/>
        <ser>
          <idx val="0"/>
          <order val="0"/>
          <tx>
            <strRef>
              <f>'06 Coverage Summary'!B12</f>
            </strRef>
          </tx>
          <spPr>
            <a:ln xmlns:a="http://schemas.openxmlformats.org/drawingml/2006/main">
              <a:prstDash val="solid"/>
            </a:ln>
          </spPr>
          <cat>
            <numRef>
              <f>'06 Coverage Summary'!$A$13:$A$24</f>
            </numRef>
          </cat>
          <val>
            <numRef>
              <f>'06 Coverage Summary'!$B$13:$B$24</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Records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Section</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10</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CoverMetadata" displayName="CoverMetadata" ref="A4:B12" headerRowCount="1">
  <autoFilter ref="A4:B12"/>
  <tableColumns count="2">
    <tableColumn id="1" name="Field"/>
    <tableColumn id="2" name="Value"/>
  </tableColumns>
  <tableStyleInfo name="TableStyleMedium2" showRowStripes="0" showColumnStripes="0"/>
</table>
</file>

<file path=xl/tables/table2.xml><?xml version="1.0" encoding="utf-8"?>
<table xmlns="http://schemas.openxmlformats.org/spreadsheetml/2006/main" id="2" name="CoverAssumptions" displayName="CoverAssumptions" ref="A15:B22" headerRowCount="1">
  <autoFilter ref="A15:B22"/>
  <tableColumns count="2">
    <tableColumn id="1" name="#"/>
    <tableColumn id="2" name="Assumption"/>
  </tableColumns>
  <tableStyleInfo name="TableStyleMedium2" showRowStripes="0" showColumnStripes="0"/>
</table>
</file>

<file path=xl/tables/table3.xml><?xml version="1.0" encoding="utf-8"?>
<table xmlns="http://schemas.openxmlformats.org/spreadsheetml/2006/main" id="3" name="Applicability" displayName="Applicability" ref="A4:B8" headerRowCount="1">
  <autoFilter ref="A4:B8"/>
  <tableColumns count="2">
    <tableColumn id="1" name="Status"/>
    <tableColumn id="2" name="Meaning"/>
  </tableColumns>
  <tableStyleInfo name="TableStyleMedium2" showRowStripes="0" showColumnStripes="0"/>
</table>
</file>

<file path=xl/tables/table4.xml><?xml version="1.0" encoding="utf-8"?>
<table xmlns="http://schemas.openxmlformats.org/spreadsheetml/2006/main" id="4" name="Sourceconfidence" displayName="Sourceconfidence" ref="A11:B13" headerRowCount="1">
  <autoFilter ref="A11:B13"/>
  <tableColumns count="2">
    <tableColumn id="1" name="Status"/>
    <tableColumn id="2" name="Meaning"/>
  </tableColumns>
  <tableStyleInfo name="TableStyleMedium2" showRowStripes="0" showColumnStripes="0"/>
</table>
</file>

<file path=xl/tables/table5.xml><?xml version="1.0" encoding="utf-8"?>
<table xmlns="http://schemas.openxmlformats.org/spreadsheetml/2006/main" id="5" name="GapRegister" displayName="GapRegister" ref="A3:D13" headerRowCount="1">
  <autoFilter ref="A3:D13"/>
  <tableColumns count="4">
    <tableColumn id="1" name="Decision / gap"/>
    <tableColumn id="2" name="Current project basis"/>
    <tableColumn id="3" name="Why it controls Chapter 11 application"/>
    <tableColumn id="4" name="Required project action"/>
  </tableColumns>
  <tableStyleInfo name="TableStyleMedium2" showRowStripes="0" showColumnStripes="0"/>
</table>
</file>

<file path=xl/tables/table6.xml><?xml version="1.0" encoding="utf-8"?>
<table xmlns="http://schemas.openxmlformats.org/spreadsheetml/2006/main" id="6" name="RequirementsMatrix" displayName="RequirementsMatrix" ref="A4:I66" headerRowCount="1">
  <autoFilter ref="A4:I66"/>
  <tableColumns count="9">
    <tableColumn id="1" name="Section"/>
    <tableColumn id="2" name="Cite"/>
    <tableColumn id="3" name="Component / check"/>
    <tableColumn id="4" name="Exact source requirement / value"/>
    <tableColumn id="5" name="Trigger / condition"/>
    <tableColumn id="6" name="Exceptions / branch"/>
    <tableColumn id="7" name="R-2 tower status"/>
    <tableColumn id="8" name="Design action"/>
    <tableColumn id="9" name="Source confidence"/>
  </tableColumns>
  <tableStyleInfo name="TableStyleMedium2" showRowStripes="0" showColumnStripes="0"/>
</table>
</file>

<file path=xl/tables/table7.xml><?xml version="1.0" encoding="utf-8"?>
<table xmlns="http://schemas.openxmlformats.org/spreadsheetml/2006/main" id="7" name="ProjectUseControls" displayName="ProjectUseControls" ref="A3:B9" headerRowCount="1">
  <autoFilter ref="A3:B9"/>
  <tableColumns count="2">
    <tableColumn id="1" name="#"/>
    <tableColumn id="2" name="Control"/>
  </tableColumns>
  <tableStyleInfo name="TableStyleMedium2" showRowStripes="0" showColumnStripes="0"/>
</table>
</file>

<file path=xl/tables/table8.xml><?xml version="1.0" encoding="utf-8"?>
<table xmlns="http://schemas.openxmlformats.org/spreadsheetml/2006/main" id="8" name="CoverageKPIs" displayName="CoverageKPIs" ref="A4:B8" headerRowCount="1">
  <autoFilter ref="A4:B8"/>
  <tableColumns count="2">
    <tableColumn id="1" name="Metric"/>
    <tableColumn id="2" name="Value"/>
  </tableColumns>
  <tableStyleInfo name="TableStyleMedium2" showRowStripes="0" showColumnStripes="0"/>
</table>
</file>

<file path=xl/tables/table9.xml><?xml version="1.0" encoding="utf-8"?>
<table xmlns="http://schemas.openxmlformats.org/spreadsheetml/2006/main" id="9" name="CoverageBySection" displayName="CoverageBySection" ref="A12:B24" headerRowCount="1">
  <autoFilter ref="A12:B24"/>
  <tableColumns count="2">
    <tableColumn id="1" name="Top-level section"/>
    <tableColumn id="2" name="Records"/>
  </tableColumns>
  <tableStyleInfo name="TableStyleMedium2" showRowStripes="0" showColumnStripes="0"/>
</table>
</file>

<file path=xl/tables/table10.xml><?xml version="1.0" encoding="utf-8"?>
<table xmlns="http://schemas.openxmlformats.org/spreadsheetml/2006/main" id="10" name="CoverageAppendedTables" displayName="CoverageAppendedTables" ref="A27:C35" headerRowCount="1">
  <autoFilter ref="A27:C35"/>
  <tableColumns count="3">
    <tableColumn id="1" name="Appended table"/>
    <tableColumn id="2" name="Records"/>
    <tableColumn id="3" name="Verify source records"/>
  </tableColumns>
  <tableStyleInfo name="TableStyleMedium2" showRowStripes="0" showColumnStripes="0"/>
</table>
</file>

<file path=xl/tables/table11.xml><?xml version="1.0" encoding="utf-8"?>
<table xmlns="http://schemas.openxmlformats.org/spreadsheetml/2006/main" id="11" name="UnresolvedSourceRegister" displayName="UnresolvedSourceRegister" ref="A3:C11" headerRowCount="1">
  <autoFilter ref="A3:C11"/>
  <tableColumns count="3">
    <tableColumn id="1" name="Affected table / clause"/>
    <tableColumn id="2" name="Why unverified"/>
    <tableColumn id="3" name="Control note"/>
  </tableColumns>
  <tableStyleInfo name="TableStyleMedium2"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s>
</file>

<file path=xl/worksheets/_rels/sheet3.xml.rels><Relationships xmlns="http://schemas.openxmlformats.org/package/2006/relationships"><Relationship Type="http://schemas.openxmlformats.org/officeDocument/2006/relationships/table" Target="/xl/tables/table5.xml" Id="rId1"/></Relationships>
</file>

<file path=xl/worksheets/_rels/sheet4.xml.rels><Relationships xmlns="http://schemas.openxmlformats.org/package/2006/relationships"><Relationship Type="http://schemas.openxmlformats.org/officeDocument/2006/relationships/table" Target="/xl/tables/table6.xml" Id="rId1"/></Relationships>
</file>

<file path=xl/worksheets/_rels/sheet5.xml.rels><Relationships xmlns="http://schemas.openxmlformats.org/package/2006/relationships"><Relationship Type="http://schemas.openxmlformats.org/officeDocument/2006/relationships/table" Target="/xl/tables/table7.xml" Id="rId1"/></Relationships>
</file>

<file path=xl/worksheets/_rels/sheet6.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8.xml" Id="rId2"/><Relationship Type="http://schemas.openxmlformats.org/officeDocument/2006/relationships/table" Target="/xl/tables/table9.xml" Id="rId3"/><Relationship Type="http://schemas.openxmlformats.org/officeDocument/2006/relationships/table" Target="/xl/tables/table10.xml" Id="rId4"/></Relationships>
</file>

<file path=xl/worksheets/_rels/sheet7.xml.rels><Relationships xmlns="http://schemas.openxmlformats.org/package/2006/relationships"><Relationship Type="http://schemas.openxmlformats.org/officeDocument/2006/relationships/table" Target="/xl/tables/table11.xml" Id="rId1"/></Relationships>
</file>

<file path=xl/worksheets/sheet1.xml><?xml version="1.0" encoding="utf-8"?>
<worksheet xmlns="http://schemas.openxmlformats.org/spreadsheetml/2006/main">
  <sheetPr>
    <outlinePr summaryBelow="1" summaryRight="1"/>
    <pageSetUpPr fitToPage="1"/>
  </sheetPr>
  <dimension ref="A1:B22"/>
  <sheetViews>
    <sheetView showGridLines="0" workbookViewId="0">
      <pane ySplit="4" topLeftCell="A5" activePane="bottomLeft" state="frozen"/>
      <selection pane="bottomLeft" activeCell="A1" sqref="A1"/>
    </sheetView>
  </sheetViews>
  <sheetFormatPr baseColWidth="8" defaultRowHeight="15"/>
  <cols>
    <col width="28" customWidth="1" min="1" max="1"/>
    <col width="120" customWidth="1" min="2" max="2"/>
  </cols>
  <sheetData>
    <row r="1" ht="36" customHeight="1">
      <c r="A1" s="1" t="inlineStr">
        <is>
          <t>SBC 201 Chapter 11 Accessibility — Group R-2 High-Rise Dimensional Requirements Matrix (2024)</t>
        </is>
      </c>
    </row>
    <row r="2" ht="36" customHeight="1">
      <c r="A2" s="2" t="inlineStr">
        <is>
          <t>Source-only architectural advisory matrix for design coordination. It is not a stamped compliance statement, accessibility consultant report, SCD NOC, SBPS approval, legal opinion, or permission to construct.</t>
        </is>
      </c>
    </row>
    <row r="4" ht="28" customHeight="1">
      <c r="A4" s="3" t="inlineStr">
        <is>
          <t>Field</t>
        </is>
      </c>
      <c r="B4" s="3" t="inlineStr">
        <is>
          <t>Value</t>
        </is>
      </c>
    </row>
    <row r="5" ht="40" customHeight="1">
      <c r="A5" s="4" t="inlineStr">
        <is>
          <t>Project basis</t>
        </is>
      </c>
      <c r="B5" s="5" t="inlineStr">
        <is>
          <t>Riyadh, Saudi Arabia; Group R-2 residential high-rise; an occupied floor is stated to be more than 23 m above the relevant reference level.</t>
        </is>
      </c>
    </row>
    <row r="6" ht="40" customHeight="1">
      <c r="A6" s="4" t="inlineStr">
        <is>
          <t>Deliverable tier</t>
        </is>
      </c>
      <c r="B6" s="5" t="inlineStr">
        <is>
          <t>Project-use matrices in Sections 1–17 (design-check rows, not pasted inventory), plus a coverage summary and unresolved-source register. The full row inventory is not published.</t>
        </is>
      </c>
    </row>
    <row r="7" ht="28" customHeight="1">
      <c r="A7" s="4" t="inlineStr">
        <is>
          <t>Code/source basis</t>
        </is>
      </c>
      <c r="B7" s="5" t="inlineStr">
        <is>
          <t>SBC 201 (2024), Chapter 11, source file Reference\SBC 201 2024\source_reference\Chapter_11 — ACCESSIBILITY.txt.</t>
        </is>
      </c>
    </row>
    <row r="8" ht="72" customHeight="1">
      <c r="A8" s="4" t="inlineStr">
        <is>
          <t>Extraction audit</t>
        </is>
      </c>
      <c r="B8" s="5" t="inlineStr">
        <is>
          <t>Skill-finetune re-run. Project-use rows follow the chapter-extract row contract (noun-phrase checks, bold SI values, building-language triggers, named exceptions, check-specific actions). Internal inventory: 276 independently checkable numeric records (192 Verified, 84 Verify source). Unresolved OCR is listed in the register and is not a design-release value. Pre-skill baseline retained as …_Grok-4.6.md.</t>
        </is>
      </c>
    </row>
    <row r="9" ht="28" customHeight="1">
      <c r="A9" s="4" t="inlineStr">
        <is>
          <t>Model</t>
        </is>
      </c>
      <c r="B9" s="5" t="inlineStr">
        <is>
          <t>Cursor Grok 4.6.</t>
        </is>
      </c>
    </row>
    <row r="10" ht="28" customHeight="1">
      <c r="A10" s="4" t="inlineStr">
        <is>
          <t>Prepared</t>
        </is>
      </c>
      <c r="B10" s="5" t="inlineStr">
        <is>
          <t>2026-08-27.</t>
        </is>
      </c>
    </row>
    <row r="11" ht="40" customHeight="1">
      <c r="A11" s="4" t="inlineStr">
        <is>
          <t>Status</t>
        </is>
      </c>
      <c r="B11" s="5" t="inlineStr">
        <is>
          <t>Source-only architectural advisory matrix for design coordination. It is not a stamped compliance statement, accessibility consultant report, SCD NOC, SBPS approval, legal opinion, or permission to construct.</t>
        </is>
      </c>
    </row>
    <row r="12" ht="56" customHeight="1">
      <c r="A12" s="4" t="inlineStr">
        <is>
          <t>Outbound-source rule</t>
        </is>
      </c>
      <c r="B12" s="5" t="inlineStr">
        <is>
          <t>No value in this matrix has been imported from ICC A117.1, Chapter 10, Chapter 9, Section 403, Chapter 30, SBC 701, SBC 901, HUD/FHAG, ADA, commentary examples, or the existing chapter summary. Where Chapter 11 sends the user elsewhere, this matrix records the dependency without supplying the outbound value.</t>
        </is>
      </c>
    </row>
    <row r="14">
      <c r="A14" s="6" t="inlineStr">
        <is>
          <t>Scope and assumptions</t>
        </is>
      </c>
    </row>
    <row r="15" ht="28" customHeight="1">
      <c r="A15" s="3" t="inlineStr">
        <is>
          <t>#</t>
        </is>
      </c>
      <c r="B15" s="3" t="inlineStr">
        <is>
          <t>Assumption</t>
        </is>
      </c>
    </row>
    <row r="16" ht="28" customHeight="1">
      <c r="A16" s="7" t="n">
        <v>1</v>
      </c>
      <c r="B16" s="5" t="inlineStr">
        <is>
          <t>Group R-2 and high-rise status are project statements, not independently verified classifications.</t>
        </is>
      </c>
    </row>
    <row r="17" ht="40" customHeight="1">
      <c r="A17" s="8" t="n">
        <v>2</v>
      </c>
      <c r="B17" s="9" t="inlineStr">
        <is>
          <t>The exact Riyadh AHJ/permit pathway, project stage and SCD NOC status are unconfirmed; therefore this matrix does not conclude compliance.</t>
        </is>
      </c>
    </row>
    <row r="18" ht="56" customHeight="1">
      <c r="A18" s="7" t="n">
        <v>3</v>
      </c>
      <c r="B18" s="5" t="inlineStr">
        <is>
          <t>Unit type is unconfirmed. The lead apartment-house path is Section 1108.6.2.2 (Type A + Type B). Table 1108.6.1.1 Accessible-unit quotas apply to Group R-1 and to Group R-2 other than live/work and apartment houses. They are not applied to a conventional apartment tower unless the unit type is congregate.</t>
        </is>
      </c>
    </row>
    <row r="19" ht="40" customHeight="1">
      <c r="A19" s="8" t="n">
        <v>4</v>
      </c>
      <c r="B19" s="9" t="inlineStr">
        <is>
          <t>Automatic sprinkler protection is not selected in this chapter extract. Chapter 11 does not branch residential unit scoping on NFPA 13 versus 13R.</t>
        </is>
      </c>
    </row>
    <row r="20" ht="40" customHeight="1">
      <c r="A20" s="7" t="n">
        <v>5</v>
      </c>
      <c r="B20" s="5" t="inlineStr">
        <is>
          <t>Building height, storey count, grade plane, occupied-roof configuration, parking counts/types, mixed-use podium, amenity/recreation layouts and EV provision are unconfirmed.</t>
        </is>
      </c>
    </row>
    <row r="21" ht="56" customHeight="1">
      <c r="A21" s="8" t="n">
        <v>6</v>
      </c>
      <c r="B21" s="9" t="inlineStr">
        <is>
          <t>Chapter 11 is scoping. Technical millimetre geometry for accessible routes, doors, toilets, kitchens and Type A/B units is ICC A117.1. Charging 1102.1 names ICC A117.1 with no edition year. General Comments name 2009; later commentary discusses 2017 anthropometry. Neither commentary year is adopted as a charging substitution.</t>
        </is>
      </c>
    </row>
    <row r="22" ht="40" customHeight="1">
      <c r="A22" s="7" t="n">
        <v>7</v>
      </c>
      <c r="B22" s="5" t="inlineStr">
        <is>
          <t>All eight appended tables are concatenated OCR. No reconstructed cell is adopted as a design-release value. Affected project-use rows are Verify source.</t>
        </is>
      </c>
    </row>
  </sheetData>
  <mergeCells count="3">
    <mergeCell ref="A14:B14"/>
    <mergeCell ref="A2:B2"/>
    <mergeCell ref="A1:B1"/>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fitToPage="1"/>
  </sheetPr>
  <dimension ref="A1:B13"/>
  <sheetViews>
    <sheetView showGridLines="0" workbookViewId="0">
      <pane ySplit="2" topLeftCell="A3" activePane="bottomLeft" state="frozen"/>
      <selection pane="bottomLeft" activeCell="A1" sqref="A1"/>
    </sheetView>
  </sheetViews>
  <sheetFormatPr baseColWidth="8" defaultRowHeight="15"/>
  <cols>
    <col width="28" customWidth="1" min="1" max="1"/>
    <col width="100" customWidth="1" min="2" max="2"/>
  </cols>
  <sheetData>
    <row r="1">
      <c r="A1" s="10" t="inlineStr">
        <is>
          <t>Legends</t>
        </is>
      </c>
    </row>
    <row r="3">
      <c r="A3" s="6" t="inlineStr">
        <is>
          <t>Applicability</t>
        </is>
      </c>
    </row>
    <row r="4" ht="28" customHeight="1">
      <c r="A4" s="3" t="inlineStr">
        <is>
          <t>Status</t>
        </is>
      </c>
      <c r="B4" s="3" t="inlineStr">
        <is>
          <t>Meaning</t>
        </is>
      </c>
    </row>
    <row r="5" ht="28" customHeight="1">
      <c r="A5" s="11" t="inlineStr">
        <is>
          <t>Direct</t>
        </is>
      </c>
      <c r="B5" s="12" t="inlineStr">
        <is>
          <t>Expected to govern the stated R-2 tower basis, subject to confirmed geometry and design data.</t>
        </is>
      </c>
    </row>
    <row r="6" ht="28" customHeight="1">
      <c r="A6" s="13" t="inlineStr">
        <is>
          <t>Conditional</t>
        </is>
      </c>
      <c r="B6" s="9" t="inlineStr">
        <is>
          <t>Governs only when the stated feature, use, occupant load, unit type or mixed-use/podium condition exists.</t>
        </is>
      </c>
    </row>
    <row r="7" ht="40" customHeight="1">
      <c r="A7" s="14" t="inlineStr">
        <is>
          <t>Not typical</t>
        </is>
      </c>
      <c r="B7" s="12" t="inlineStr">
        <is>
          <t>Unrelated occupancy-only rule; omitted from this deliverable unless the gap register already opened that use.</t>
        </is>
      </c>
    </row>
    <row r="8" ht="40" customHeight="1">
      <c r="A8" s="15" t="inlineStr">
        <is>
          <t>External verification</t>
        </is>
      </c>
      <c r="B8" s="9" t="inlineStr">
        <is>
          <t>Chapter 11 points to another section/code/standard, or the project/AHJ basis must be confirmed before use.</t>
        </is>
      </c>
    </row>
    <row r="10">
      <c r="A10" s="6" t="inlineStr">
        <is>
          <t>Source confidence</t>
        </is>
      </c>
    </row>
    <row r="11" ht="28" customHeight="1">
      <c r="A11" s="3" t="inlineStr">
        <is>
          <t>Status</t>
        </is>
      </c>
      <c r="B11" s="3" t="inlineStr">
        <is>
          <t>Meaning</t>
        </is>
      </c>
    </row>
    <row r="12" ht="40" customHeight="1">
      <c r="A12" s="11" t="inlineStr">
        <is>
          <t>Verified</t>
        </is>
      </c>
      <c r="B12" s="12" t="inlineStr">
        <is>
          <t>Requirement and any stated numeric value were checked against unambiguous mandatory Chapter 11 source text.</t>
        </is>
      </c>
    </row>
    <row r="13" ht="28" customHeight="1">
      <c r="A13" s="16" t="inlineStr">
        <is>
          <t>Verify source</t>
        </is>
      </c>
      <c r="B13" s="9" t="inlineStr">
        <is>
          <t>OCR, flattened table, page-split, or footnote attachment is unresolved. Not a design-release value.</t>
        </is>
      </c>
    </row>
  </sheetData>
  <mergeCells count="3">
    <mergeCell ref="A3:B3"/>
    <mergeCell ref="A10:B10"/>
    <mergeCell ref="A1:B1"/>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fitToPage="1"/>
  </sheetPr>
  <dimension ref="A1:D13"/>
  <sheetViews>
    <sheetView showGridLines="0" workbookViewId="0">
      <pane ySplit="3" topLeftCell="A4" activePane="bottomLeft" state="frozen"/>
      <selection pane="bottomLeft" activeCell="A1" sqref="A1"/>
    </sheetView>
  </sheetViews>
  <sheetFormatPr baseColWidth="8" defaultRowHeight="15"/>
  <cols>
    <col width="32" customWidth="1" min="1" max="1"/>
    <col width="42" customWidth="1" min="2" max="2"/>
    <col width="52" customWidth="1" min="3" max="3"/>
    <col width="48" customWidth="1" min="4" max="4"/>
  </cols>
  <sheetData>
    <row r="1" ht="24" customHeight="1">
      <c r="A1" s="10" t="inlineStr">
        <is>
          <t>Project decision and gap register</t>
        </is>
      </c>
    </row>
    <row r="2" ht="36" customHeight="1">
      <c r="A2" s="17" t="inlineStr">
        <is>
          <t>Decisions that control how Chapter 11 is applied to this occupancy.</t>
        </is>
      </c>
    </row>
    <row r="3" ht="28" customHeight="1">
      <c r="A3" s="3" t="inlineStr">
        <is>
          <t>Decision / gap</t>
        </is>
      </c>
      <c r="B3" s="3" t="inlineStr">
        <is>
          <t>Current project basis</t>
        </is>
      </c>
      <c r="C3" s="3" t="inlineStr">
        <is>
          <t>Why it controls Chapter 11 application</t>
        </is>
      </c>
      <c r="D3" s="3" t="inlineStr">
        <is>
          <t>Required project action</t>
        </is>
      </c>
    </row>
    <row r="4" ht="40" customHeight="1">
      <c r="A4" s="12" t="inlineStr">
        <is>
          <t>ICC A117.1 edition</t>
        </is>
      </c>
      <c r="B4" s="12" t="inlineStr">
        <is>
          <t>Charging 1102.1 has no year; General Comments name 2009; commentary discusses 2017</t>
        </is>
      </c>
      <c r="C4" s="12" t="inlineStr">
        <is>
          <t>Controls turning spaces, clear floor space, door manoeuvring, Type A/B unit interiors</t>
        </is>
      </c>
      <c r="D4" s="12" t="inlineStr">
        <is>
          <t>AHJ/code consultant to lock the referenced edition; do not silently switch editions</t>
        </is>
      </c>
    </row>
    <row r="5" ht="40" customHeight="1">
      <c r="A5" s="9" t="inlineStr">
        <is>
          <t>Unit type</t>
        </is>
      </c>
      <c r="B5" s="9" t="inlineStr">
        <is>
          <t>Unconfirmed: apartment dwelling units vs sleeping units vs congregate bedrooms</t>
        </is>
      </c>
      <c r="C5" s="9" t="inlineStr">
        <is>
          <t>Selects 1108.6.2.2 (Type A/B) versus 1108.6.2.3 + Table 1108.6.1.1 (Accessible units)</t>
        </is>
      </c>
      <c r="D5" s="9" t="inlineStr">
        <is>
          <t>Classify every R-2 unit type and show the applicable branch on accessibility plans</t>
        </is>
      </c>
    </row>
    <row r="6" ht="56" customHeight="1">
      <c r="A6" s="12" t="inlineStr">
        <is>
          <t>Site unit count</t>
        </is>
      </c>
      <c r="B6" s="12" t="inlineStr">
        <is>
          <t>Unconfirmed; typical tower exceeds 20 units</t>
        </is>
      </c>
      <c r="C6" s="12" t="inlineStr">
        <is>
          <t>Type A trigger is more than 20 dwelling/sleeping units on the site</t>
        </is>
      </c>
      <c r="D6" s="12" t="inlineStr">
        <is>
          <t>Issue a signed unit schedule for the site, excluding existing structures per 1108.6.2.2.1 Exception 2</t>
        </is>
      </c>
    </row>
    <row r="7" ht="56" customHeight="1">
      <c r="A7" s="9" t="inlineStr">
        <is>
          <t>Elevator service</t>
        </is>
      </c>
      <c r="B7" s="9" t="inlineStr">
        <is>
          <t>High-rise implies elevator service, not independently verified</t>
        </is>
      </c>
      <c r="C7" s="9" t="inlineStr">
        <is>
          <t>1108.7 nonelevator reductions do not apply to a true elevator building except 1108.7.3 limited-elevator branch</t>
        </is>
      </c>
      <c r="D7" s="9" t="inlineStr">
        <is>
          <t>Confirm passenger-elevator service to all stories containing units; if a lift serves only the lowest unit story, re-test 1108.7.3</t>
        </is>
      </c>
    </row>
    <row r="8" ht="56" customHeight="1">
      <c r="A8" s="12" t="inlineStr">
        <is>
          <t>Parking count and type</t>
        </is>
      </c>
      <c r="B8" s="12" t="inlineStr">
        <is>
          <t>Unconfirmed</t>
        </is>
      </c>
      <c r="C8" s="12" t="inlineStr">
        <is>
          <t>1106.3 Item 1 (2% of each type) versus Item 3 (one accessible space per Accessible/Type A unit where parking is 1:1); Item 4 if parking is in/under the building</t>
        </is>
      </c>
      <c r="D8" s="12" t="inlineStr">
        <is>
          <t>Produce a parking schedule by facility and type (resident, visitor, accessible, van, EV)</t>
        </is>
      </c>
    </row>
    <row r="9" ht="56" customHeight="1">
      <c r="A9" s="9" t="inlineStr">
        <is>
          <t>Mixed-use podium</t>
        </is>
      </c>
      <c r="B9" s="9" t="inlineStr">
        <is>
          <t>Unconfirmed</t>
        </is>
      </c>
      <c r="C9" s="9" t="inlineStr">
        <is>
          <t>Shared routes, 60% public entrances, Table 1105.1.1 power doors (A/B/M/R-1 only), family toilets, assembly seating</t>
        </is>
      </c>
      <c r="D9" s="9" t="inlineStr">
        <is>
          <t>Freeze occupancy by room; do not apply R-1 power-door loads to R-2</t>
        </is>
      </c>
    </row>
    <row r="10" ht="56" customHeight="1">
      <c r="A10" s="12" t="inlineStr">
        <is>
          <t>Recreation / pool</t>
        </is>
      </c>
      <c r="B10" s="12" t="inlineStr">
        <is>
          <t>Unconfirmed</t>
        </is>
      </c>
      <c r="C10" s="12" t="inlineStr">
        <is>
          <t>1111.2.2 25% of each type for Type A/B; 1111.4.14 Exception 3 waives water-entry for Type A/B pools but not for Accessible-unit recreation</t>
        </is>
      </c>
      <c r="D10" s="12" t="inlineStr">
        <is>
          <t>Map every recreational facility type serving the tower</t>
        </is>
      </c>
    </row>
    <row r="11" ht="56" customHeight="1">
      <c r="A11" s="9" t="inlineStr">
        <is>
          <t>EV charging</t>
        </is>
      </c>
      <c r="B11" s="9" t="inlineStr">
        <is>
          <t>Unconfirmed</t>
        </is>
      </c>
      <c r="C11" s="9" t="inlineStr">
        <is>
          <t>1107.2 exception for EV serving R-2; 5% / 3300 mm / 1500 mm apply only if the exception does not cover the installation</t>
        </is>
      </c>
      <c r="D11" s="9" t="inlineStr">
        <is>
          <t>Confirm whether chargers serve R-2 residents only or a public/commercial facility</t>
        </is>
      </c>
    </row>
    <row r="12" ht="56" customHeight="1">
      <c r="A12" s="12" t="inlineStr">
        <is>
          <t>Occupied roof / amenities</t>
        </is>
      </c>
      <c r="B12" s="12" t="inlineStr">
        <is>
          <t>Unconfirmed</t>
        </is>
      </c>
      <c r="C12" s="12" t="inlineStr">
        <is>
          <t>1104.4 Exception 1 does not apply to structures with 4 or more dwelling units; common rooms serving Type B units must be accessible (1108.3)</t>
        </is>
      </c>
      <c r="D12" s="12" t="inlineStr">
        <is>
          <t>Show an accessible route to every required accessible story, mezzanine and occupied roof</t>
        </is>
      </c>
    </row>
    <row r="13" ht="56" customHeight="1">
      <c r="A13" s="9" t="inlineStr">
        <is>
          <t>NOC / accessibility consultant</t>
        </is>
      </c>
      <c r="B13" s="9" t="inlineStr">
        <is>
          <t>Unconfirmed</t>
        </is>
      </c>
      <c r="C13" s="9" t="inlineStr">
        <is>
          <t>Technical A117.1 geometry, assisted-evacuation and SCD acceptance cannot be concluded from Chapter 11 scoping alone</t>
        </is>
      </c>
      <c r="D13" s="9" t="inlineStr">
        <is>
          <t>Engage the qualified local accessibility/fire consultants before design freeze</t>
        </is>
      </c>
    </row>
  </sheetData>
  <mergeCells count="2">
    <mergeCell ref="A1:D1"/>
    <mergeCell ref="A2:D2"/>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I6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26" customWidth="1" min="2" max="2"/>
    <col width="34" customWidth="1" min="3" max="3"/>
    <col width="52" customWidth="1" min="4" max="4"/>
    <col width="36" customWidth="1" min="5" max="5"/>
    <col width="48" customWidth="1" min="6" max="6"/>
    <col width="22" customWidth="1" min="7" max="7"/>
    <col width="48" customWidth="1" min="8" max="8"/>
    <col width="16" customWidth="1" min="9" max="9"/>
  </cols>
  <sheetData>
    <row r="1">
      <c r="A1" s="10" t="inlineStr">
        <is>
          <t>Project-use requirements matrix (Sections 4–16)</t>
        </is>
      </c>
    </row>
    <row r="2" ht="32" customHeight="1">
      <c r="A2" s="17" t="inlineStr">
        <is>
          <t>Design-check rows. Filter by section, occupancy status, or source confidence. Verify source rows are not design-release values.</t>
        </is>
      </c>
    </row>
    <row r="4" ht="32" customHeight="1">
      <c r="A4" s="3" t="inlineStr">
        <is>
          <t>Section</t>
        </is>
      </c>
      <c r="B4" s="3" t="inlineStr">
        <is>
          <t>Cite</t>
        </is>
      </c>
      <c r="C4" s="3" t="inlineStr">
        <is>
          <t>Component / check</t>
        </is>
      </c>
      <c r="D4" s="3" t="inlineStr">
        <is>
          <t>Exact source requirement / value</t>
        </is>
      </c>
      <c r="E4" s="3" t="inlineStr">
        <is>
          <t>Trigger / condition</t>
        </is>
      </c>
      <c r="F4" s="3" t="inlineStr">
        <is>
          <t>Exceptions / branch</t>
        </is>
      </c>
      <c r="G4" s="3" t="inlineStr">
        <is>
          <t>R-2 tower status</t>
        </is>
      </c>
      <c r="H4" s="3" t="inlineStr">
        <is>
          <t>Design action</t>
        </is>
      </c>
      <c r="I4" s="3" t="inlineStr">
        <is>
          <t>Source confidence</t>
        </is>
      </c>
    </row>
    <row r="5" ht="40" customHeight="1">
      <c r="A5" s="12" t="inlineStr">
        <is>
          <t>4. Scoping versus technical standard</t>
        </is>
      </c>
      <c r="B5" s="12" t="inlineStr">
        <is>
          <t>1101.1</t>
        </is>
      </c>
      <c r="C5" s="12" t="inlineStr">
        <is>
          <t>Chapter scope</t>
        </is>
      </c>
      <c r="D5" s="12" t="inlineStr">
        <is>
          <t>This chapter controls design and construction of facilities for accessibility</t>
        </is>
      </c>
      <c r="E5" s="12" t="inlineStr">
        <is>
          <t>All facilities in scope</t>
        </is>
      </c>
      <c r="F5" s="12" t="inlineStr">
        <is>
          <t>None stated</t>
        </is>
      </c>
      <c r="G5" s="11" t="inlineStr">
        <is>
          <t>Direct</t>
        </is>
      </c>
      <c r="H5" s="12" t="inlineStr">
        <is>
          <t>Treat Chapter 11 as the scoping document for the tower and site</t>
        </is>
      </c>
      <c r="I5" s="11" t="inlineStr">
        <is>
          <t>Verified</t>
        </is>
      </c>
    </row>
    <row r="6" ht="40" customHeight="1">
      <c r="A6" s="9" t="inlineStr">
        <is>
          <t>4. Scoping versus technical standard</t>
        </is>
      </c>
      <c r="B6" s="9" t="inlineStr">
        <is>
          <t>1102.1</t>
        </is>
      </c>
      <c r="C6" s="9" t="inlineStr">
        <is>
          <t>ICC A117.1</t>
        </is>
      </c>
      <c r="D6" s="9" t="inlineStr">
        <is>
          <t>Accessible in accordance with this code and ICC A117.1 (no year)</t>
        </is>
      </c>
      <c r="E6" s="9" t="inlineStr">
        <is>
          <t>All required accessible facilities</t>
        </is>
      </c>
      <c r="F6" s="9" t="inlineStr">
        <is>
          <t>None stated</t>
        </is>
      </c>
      <c r="G6" s="15" t="inlineStr">
        <is>
          <t>External verification</t>
        </is>
      </c>
      <c r="H6" s="9" t="inlineStr">
        <is>
          <t>Lock the A117.1 edition with the AHJ; do not import millimetre geometry here</t>
        </is>
      </c>
      <c r="I6" s="11" t="inlineStr">
        <is>
          <t>Verified</t>
        </is>
      </c>
    </row>
    <row r="7" ht="56" customHeight="1">
      <c r="A7" s="12" t="inlineStr">
        <is>
          <t>4. Scoping versus technical standard</t>
        </is>
      </c>
      <c r="B7" s="12" t="inlineStr">
        <is>
          <t>1108.2</t>
        </is>
      </c>
      <c r="C7" s="12" t="inlineStr">
        <is>
          <t>Unit interiors</t>
        </is>
      </c>
      <c r="D7" s="12" t="inlineStr">
        <is>
          <t>Accessible / Type A / Type B units comply with applicable portions of Chapter 11 of ICC A117.1; higher unit types may substitute</t>
        </is>
      </c>
      <c r="E7" s="12" t="inlineStr">
        <is>
          <t>Required unit types</t>
        </is>
      </c>
      <c r="F7" s="12" t="inlineStr">
        <is>
          <t>Type A may be built as Accessible; Type B as Accessible or Type A</t>
        </is>
      </c>
      <c r="G7" s="15" t="inlineStr">
        <is>
          <t>External verification</t>
        </is>
      </c>
      <c r="H7" s="12" t="inlineStr">
        <is>
          <t>Produce unit-type typical details from the referenced A117.1 chapter, not from commentary millimetres</t>
        </is>
      </c>
      <c r="I7" s="11" t="inlineStr">
        <is>
          <t>Verified</t>
        </is>
      </c>
    </row>
    <row r="8" ht="56" customHeight="1">
      <c r="A8" s="9" t="inlineStr">
        <is>
          <t>4. Scoping versus technical standard</t>
        </is>
      </c>
      <c r="B8" s="9" t="inlineStr">
        <is>
          <t>1110.1 Exception</t>
        </is>
      </c>
      <c r="C8" s="9" t="inlineStr">
        <is>
          <t>Unit toilets/kitchens</t>
        </is>
      </c>
      <c r="D8" s="9" t="inlineStr">
        <is>
          <t>Accessible, Type A and Type B units shall comply with Chapter 10 of ICC A117.1</t>
        </is>
      </c>
      <c r="E8" s="9" t="inlineStr">
        <is>
          <t>Those unit types</t>
        </is>
      </c>
      <c r="F8" s="9" t="inlineStr">
        <is>
          <t>1110 otherwise still governs common/public features</t>
        </is>
      </c>
      <c r="G8" s="15" t="inlineStr">
        <is>
          <t>External verification</t>
        </is>
      </c>
      <c r="H8" s="9" t="inlineStr">
        <is>
          <t>Note the source names Chapter 10 here and Chapter 11 at 1108.2; verify the printed A117.1 mapping before detailing</t>
        </is>
      </c>
      <c r="I8" s="11" t="inlineStr">
        <is>
          <t>Verified</t>
        </is>
      </c>
    </row>
    <row r="9" ht="72" customHeight="1">
      <c r="A9" s="12" t="inlineStr">
        <is>
          <t>4. Scoping versus technical standard</t>
        </is>
      </c>
      <c r="B9" s="12" t="inlineStr">
        <is>
          <t>1108.3</t>
        </is>
      </c>
      <c r="C9" s="12" t="inlineStr">
        <is>
          <t>Common rooms serving units</t>
        </is>
      </c>
      <c r="D9" s="12" t="inlineStr">
        <is>
          <t>Rooms and spaces available to the public or residents and serving Accessible, Type A or Type B units shall be accessible, including toilet/bathing, kitchen, living/dining and exterior patios/terraces/balconies</t>
        </is>
      </c>
      <c r="E9" s="12" t="inlineStr">
        <is>
          <t>Amenities serving required units</t>
        </is>
      </c>
      <c r="F9" s="12" t="inlineStr">
        <is>
          <t>1108.4 story exemptions; 1111.2 recreation; Type B impervious balcony step-down 100 mm maximum</t>
        </is>
      </c>
      <c r="G9" s="11" t="inlineStr">
        <is>
          <t>Direct</t>
        </is>
      </c>
      <c r="H9" s="12" t="inlineStr">
        <is>
          <t>Put lobby, mail, laundry, refuse, shared toilets, gym and roof terrace on an accessible route</t>
        </is>
      </c>
      <c r="I9" s="11" t="inlineStr">
        <is>
          <t>Verified</t>
        </is>
      </c>
    </row>
    <row r="10" ht="40" customHeight="1">
      <c r="A10" s="9" t="inlineStr">
        <is>
          <t>5. General applicability and surviving exceptions</t>
        </is>
      </c>
      <c r="B10" s="9" t="inlineStr">
        <is>
          <t>1103.1</t>
        </is>
      </c>
      <c r="C10" s="9" t="inlineStr">
        <is>
          <t>Default accessibility</t>
        </is>
      </c>
      <c r="D10" s="9" t="inlineStr">
        <is>
          <t>Sites, buildings, structures, facilities, elements and spaces, temporary or permanent, shall be accessible</t>
        </is>
      </c>
      <c r="E10" s="9" t="inlineStr">
        <is>
          <t>All construction</t>
        </is>
      </c>
      <c r="F10" s="9" t="inlineStr">
        <is>
          <t>Only to the extent permitted by 1103.2 / 1104–1112</t>
        </is>
      </c>
      <c r="G10" s="11" t="inlineStr">
        <is>
          <t>Direct</t>
        </is>
      </c>
      <c r="H10" s="9" t="inlineStr">
        <is>
          <t>Assume accessible unless a numbered exception is proven</t>
        </is>
      </c>
      <c r="I10" s="11" t="inlineStr">
        <is>
          <t>Verified</t>
        </is>
      </c>
    </row>
    <row r="11" ht="56" customHeight="1">
      <c r="A11" s="12" t="inlineStr">
        <is>
          <t>5. General applicability and surviving exceptions</t>
        </is>
      </c>
      <c r="B11" s="12" t="inlineStr">
        <is>
          <t>1103.2.2</t>
        </is>
      </c>
      <c r="C11" s="12" t="inlineStr">
        <is>
          <t>Employee work areas</t>
        </is>
      </c>
      <c r="D11" s="12" t="inlineStr">
        <is>
          <t>Approach, enter and exit plus 907.5.2.3.1, 1009 and 1104.3.1 only</t>
        </is>
      </c>
      <c r="E11" s="12" t="inlineStr">
        <is>
          <t>Employee work areas</t>
        </is>
      </c>
      <c r="F11" s="12" t="inlineStr">
        <is>
          <t>Portions &lt; 28 m² and ≥ 175 mm essential level change exempt from all requirements (not courtroom stations)</t>
        </is>
      </c>
      <c r="G11" s="13" t="inlineStr">
        <is>
          <t>Conditional</t>
        </is>
      </c>
      <c r="H11" s="12" t="inlineStr">
        <is>
          <t>Apply to BOH, security desks and plant-adjacent workstations; keep visible alarm and accessible MOE outbound</t>
        </is>
      </c>
      <c r="I11" s="11" t="inlineStr">
        <is>
          <t>Verified</t>
        </is>
      </c>
    </row>
    <row r="12" ht="56" customHeight="1">
      <c r="A12" s="9" t="inlineStr">
        <is>
          <t>5. General applicability and surviving exceptions</t>
        </is>
      </c>
      <c r="B12" s="9" t="inlineStr">
        <is>
          <t>1103.2.9</t>
        </is>
      </c>
      <c r="C12" s="9" t="inlineStr">
        <is>
          <t>Equipment spaces</t>
        </is>
      </c>
      <c r="D12" s="9" t="inlineStr">
        <is>
          <t>Spaces frequented only by service personnel for maintenance, repair or occasional monitoring of equipment are not required to comply with this chapter</t>
        </is>
      </c>
      <c r="E12" s="9" t="inlineStr">
        <is>
          <t>Service-only equipment spaces</t>
        </is>
      </c>
      <c r="F12" s="9" t="inlineStr">
        <is>
          <t>None stated</t>
        </is>
      </c>
      <c r="G12" s="11" t="inlineStr">
        <is>
          <t>Direct</t>
        </is>
      </c>
      <c r="H12" s="9" t="inlineStr">
        <is>
          <t>Do not force an accessible route into elevator pits, penthouses or typical MEP rooms</t>
        </is>
      </c>
      <c r="I12" s="11" t="inlineStr">
        <is>
          <t>Verified</t>
        </is>
      </c>
    </row>
    <row r="13" ht="56" customHeight="1">
      <c r="A13" s="12" t="inlineStr">
        <is>
          <t>5. General applicability and surviving exceptions</t>
        </is>
      </c>
      <c r="B13" s="12" t="inlineStr">
        <is>
          <t>1104.3.1 Ex. 1</t>
        </is>
      </c>
      <c r="C13" s="12" t="inlineStr">
        <is>
          <t>Small work-area path</t>
        </is>
      </c>
      <c r="D13" s="12" t="inlineStr">
        <is>
          <t>Common-use circulation paths in employee work areas &lt; 100 m² defined by permanent partitions/furnishings need not be accessible routes</t>
        </is>
      </c>
      <c r="E13" s="12" t="inlineStr">
        <is>
          <t>Employee work areas</t>
        </is>
      </c>
      <c r="F13" s="12" t="inlineStr">
        <is>
          <t>Equipment-integral and weather-exposed exterior path exceptions also stated</t>
        </is>
      </c>
      <c r="G13" s="13" t="inlineStr">
        <is>
          <t>Conditional</t>
        </is>
      </c>
      <c r="H13" s="12" t="inlineStr">
        <is>
          <t>Keep an accessible route to the work area; the path through a small defined workstation may be exempt</t>
        </is>
      </c>
      <c r="I13" s="11" t="inlineStr">
        <is>
          <t>Verified</t>
        </is>
      </c>
    </row>
    <row r="14" ht="56" customHeight="1">
      <c r="A14" s="9" t="inlineStr">
        <is>
          <t>6. Accessible routes and stories</t>
        </is>
      </c>
      <c r="B14" s="9" t="inlineStr">
        <is>
          <t>1104.1</t>
        </is>
      </c>
      <c r="C14" s="9" t="inlineStr">
        <is>
          <t>Site arrival route</t>
        </is>
      </c>
      <c r="D14" s="9" t="inlineStr">
        <is>
          <t>At least one accessible route from transit, accessible parking, accessible loading, streets/sidewalks to the accessible entrance</t>
        </is>
      </c>
      <c r="E14" s="9" t="inlineStr">
        <is>
          <t>Site arrival points</t>
        </is>
      </c>
      <c r="F14" s="9" t="inlineStr">
        <is>
          <t>Vehicular-way-only exception does not apply to buildings containing or serving Type B units</t>
        </is>
      </c>
      <c r="G14" s="11" t="inlineStr">
        <is>
          <t>Direct</t>
        </is>
      </c>
      <c r="H14" s="9" t="inlineStr">
        <is>
          <t>Provide a pedestrian accessible route from every applicable arrival point; do not rely on a driveway-only exception</t>
        </is>
      </c>
      <c r="I14" s="11" t="inlineStr">
        <is>
          <t>Verified</t>
        </is>
      </c>
    </row>
    <row r="15" ht="56" customHeight="1">
      <c r="A15" s="12" t="inlineStr">
        <is>
          <t>6. Accessible routes and stories</t>
        </is>
      </c>
      <c r="B15" s="12" t="inlineStr">
        <is>
          <t>1104.2</t>
        </is>
      </c>
      <c r="C15" s="12" t="inlineStr">
        <is>
          <t>On-site connections</t>
        </is>
      </c>
      <c r="D15" s="12" t="inlineStr">
        <is>
          <t>At least one accessible route connecting accessible buildings, facilities, elements and spaces on the same site</t>
        </is>
      </c>
      <c r="E15" s="12" t="inlineStr">
        <is>
          <t>Multiple accessible elements on one site</t>
        </is>
      </c>
      <c r="F15" s="12" t="inlineStr">
        <is>
          <t>Vehicular-way-only; recreation only as 1111</t>
        </is>
      </c>
      <c r="G15" s="11" t="inlineStr">
        <is>
          <t>Direct</t>
        </is>
      </c>
      <c r="H15" s="12" t="inlineStr">
        <is>
          <t>Connect podium, parking, lobby and recreation to the same accessible network</t>
        </is>
      </c>
      <c r="I15" s="11" t="inlineStr">
        <is>
          <t>Verified</t>
        </is>
      </c>
    </row>
    <row r="16" ht="56" customHeight="1">
      <c r="A16" s="9" t="inlineStr">
        <is>
          <t>6. Accessible routes and stories</t>
        </is>
      </c>
      <c r="B16" s="9" t="inlineStr">
        <is>
          <t>1104.3</t>
        </is>
      </c>
      <c r="C16" s="9" t="inlineStr">
        <is>
          <t>Connected spaces</t>
        </is>
      </c>
      <c r="D16" s="9" t="inlineStr">
        <is>
          <t>At least one accessible route to each required accessible portion, to accessible entrances connecting accessible walkways, and to the public way</t>
        </is>
      </c>
      <c r="E16" s="9" t="inlineStr">
        <is>
          <t>Building required to be accessible</t>
        </is>
      </c>
      <c r="F16" s="9" t="inlineStr">
        <is>
          <t>1104.4 story skips; assembly levels without wheelchair spaces; courtroom workstations; 1111 recreation</t>
        </is>
      </c>
      <c r="G16" s="11" t="inlineStr">
        <is>
          <t>Direct</t>
        </is>
      </c>
      <c r="H16" s="9" t="inlineStr">
        <is>
          <t>Trace the accessible route from public way through lobby, lifts and common floors</t>
        </is>
      </c>
      <c r="I16" s="11" t="inlineStr">
        <is>
          <t>Verified</t>
        </is>
      </c>
    </row>
    <row r="17" ht="56" customHeight="1">
      <c r="A17" s="12" t="inlineStr">
        <is>
          <t>6. Accessible routes and stories</t>
        </is>
      </c>
      <c r="B17" s="12" t="inlineStr">
        <is>
          <t>1104.4</t>
        </is>
      </c>
      <c r="C17" s="12" t="inlineStr">
        <is>
          <t>Multistory / occupied roof</t>
        </is>
      </c>
      <c r="D17" s="12" t="inlineStr">
        <is>
          <t>At least one accessible route shall connect each accessible story, mezzanine and occupied roofs</t>
        </is>
      </c>
      <c r="E17" s="12" t="inlineStr">
        <is>
          <t>Multilevel buildings</t>
        </is>
      </c>
      <c r="F17" s="12" t="inlineStr">
        <is>
          <t>Exception 1 (≤ 279 m² aggregate above+below) shall not apply to structures with 4 or more dwelling units</t>
        </is>
      </c>
      <c r="G17" s="11" t="inlineStr">
        <is>
          <t>Direct</t>
        </is>
      </c>
      <c r="H17" s="12" t="inlineStr">
        <is>
          <t>Do not use the 279 m² story-skip on this R-2 tower; serve every required accessible level including occupied roof</t>
        </is>
      </c>
      <c r="I17" s="11" t="inlineStr">
        <is>
          <t>Verified</t>
        </is>
      </c>
    </row>
    <row r="18" ht="88" customHeight="1">
      <c r="A18" s="9" t="inlineStr">
        <is>
          <t>6. Accessible routes and stories</t>
        </is>
      </c>
      <c r="B18" s="9" t="inlineStr">
        <is>
          <t>1104.5</t>
        </is>
      </c>
      <c r="C18" s="9" t="inlineStr">
        <is>
          <t>Route coincidence</t>
        </is>
      </c>
      <c r="D18" s="9" t="inlineStr">
        <is>
          <t>Accessible routes shall coincide with or be in the same area as general circulation; interior circulation requires an interior accessible route; a single accessible route shall not pass through kitchens, storage, restrooms, closets or similar</t>
        </is>
      </c>
      <c r="E18" s="9" t="inlineStr">
        <is>
          <t>Accessible routes</t>
        </is>
      </c>
      <c r="F18" s="9" t="inlineStr">
        <is>
          <t>1. Garage-to-Type B routes need not be interior. 2. A single route may pass through a kitchen or storage room inside an Accessible, Type A or Type B unit</t>
        </is>
      </c>
      <c r="G18" s="11" t="inlineStr">
        <is>
          <t>Direct</t>
        </is>
      </c>
      <c r="H18" s="9" t="inlineStr">
        <is>
          <t>Keep common accessible routes in public circulation, not through service rooms</t>
        </is>
      </c>
      <c r="I18" s="11" t="inlineStr">
        <is>
          <t>Verified</t>
        </is>
      </c>
    </row>
    <row r="19" ht="88" customHeight="1">
      <c r="A19" s="12" t="inlineStr">
        <is>
          <t>6. Accessible routes and stories</t>
        </is>
      </c>
      <c r="B19" s="12" t="inlineStr">
        <is>
          <t>1108.4</t>
        </is>
      </c>
      <c r="C19" s="12" t="inlineStr">
        <is>
          <t>Route to units</t>
        </is>
      </c>
      <c r="D19" s="12" t="inlineStr">
        <is>
          <t>At least one accessible route shall connect accessible building entrances with the primary entrance of each Accessible, Type A and Type B unit and with interior/exterior spaces serving the units</t>
        </is>
      </c>
      <c r="E19" s="12" t="inlineStr">
        <is>
          <t>Required units</t>
        </is>
      </c>
      <c r="F19" s="12" t="inlineStr">
        <is>
          <t>1. 1:12 / legal-barrier vehicular substitute. 3. R-2 with Type A units: stories need not connect where Type A units, their common use and all public use are already on an accessible route. 7. Type B stories exempted by 1108.7</t>
        </is>
      </c>
      <c r="G19" s="11" t="inlineStr">
        <is>
          <t>Direct</t>
        </is>
      </c>
      <c r="H19" s="12" t="inlineStr">
        <is>
          <t>For an elevator high-rise, serve every Type A and Type B unit entrance from an accessible building entrance</t>
        </is>
      </c>
      <c r="I19" s="11" t="inlineStr">
        <is>
          <t>Verified</t>
        </is>
      </c>
    </row>
    <row r="20" ht="56" customHeight="1">
      <c r="A20" s="9" t="inlineStr">
        <is>
          <t>6. Accessible routes and stories</t>
        </is>
      </c>
      <c r="B20" s="9" t="inlineStr">
        <is>
          <t>1108.3 Ex. 3</t>
        </is>
      </c>
      <c r="C20" s="9" t="inlineStr">
        <is>
          <t>Type B balcony step</t>
        </is>
      </c>
      <c r="D20" s="9" t="inlineStr">
        <is>
          <t>Type B unit impervious decks/patios/balconies not more than 100 mm below adjacent interior finished floor</t>
        </is>
      </c>
      <c r="E20" s="9" t="inlineStr">
        <is>
          <t>Type B unit private outdoor space</t>
        </is>
      </c>
      <c r="F20" s="9" t="inlineStr">
        <is>
          <t>Community/public decks are not this exception</t>
        </is>
      </c>
      <c r="G20" s="11" t="inlineStr">
        <is>
          <t>Direct</t>
        </is>
      </c>
      <c r="H20" s="9" t="inlineStr">
        <is>
          <t>Limit unit balcony step-down to 100 mm where the walking surface is impervious; keep community terraces fully accessible</t>
        </is>
      </c>
      <c r="I20" s="11" t="inlineStr">
        <is>
          <t>Verified</t>
        </is>
      </c>
    </row>
    <row r="21" ht="40" customHeight="1">
      <c r="A21" s="12" t="inlineStr">
        <is>
          <t>7. Entrances</t>
        </is>
      </c>
      <c r="B21" s="12" t="inlineStr">
        <is>
          <t>1105.1</t>
        </is>
      </c>
      <c r="C21" s="12" t="inlineStr">
        <is>
          <t>Public entrances</t>
        </is>
      </c>
      <c r="D21" s="12" t="inlineStr">
        <is>
          <t>At least 60 percent of all public entrances shall be accessible, in addition to 1105.1.2–1105.1.8</t>
        </is>
      </c>
      <c r="E21" s="12" t="inlineStr">
        <is>
          <t>Public entrances</t>
        </is>
      </c>
      <c r="F21" s="12" t="inlineStr">
        <is>
          <t>Areas not required to be accessible; loading/service entrances that are not the only tenant entrance</t>
        </is>
      </c>
      <c r="G21" s="11" t="inlineStr">
        <is>
          <t>Direct</t>
        </is>
      </c>
      <c r="H21" s="12" t="inlineStr">
        <is>
          <t>Count public doors (not egress-only doors) and make ≥ 60% accessible</t>
        </is>
      </c>
      <c r="I21" s="11" t="inlineStr">
        <is>
          <t>Verified</t>
        </is>
      </c>
    </row>
    <row r="22" ht="72" customHeight="1">
      <c r="A22" s="9" t="inlineStr">
        <is>
          <t>7. Entrances</t>
        </is>
      </c>
      <c r="B22" s="9" t="inlineStr">
        <is>
          <t>1105.1.1 / Table 1105.1.1</t>
        </is>
      </c>
      <c r="C22" s="9" t="inlineStr">
        <is>
          <t>Power-operated public entrance</t>
        </is>
      </c>
      <c r="D22" s="9" t="inlineStr">
        <is>
          <t>One full-power or low-energy power-operated door at each required accessible public entrance when occupancy and building occupant load exceed the table; vestibule: one leaf in and one leaf out</t>
        </is>
      </c>
      <c r="E22" s="9" t="inlineStr">
        <is>
          <t>Table lists Groups A-1–A-4 and B, M, R-1; mixed-use uses the most restrictive listed load</t>
        </is>
      </c>
      <c r="F22" s="9" t="inlineStr">
        <is>
          <t>Group R-2 is not listed. Flattened OCR occupant-load cells are not adopted</t>
        </is>
      </c>
      <c r="G22" s="13" t="inlineStr">
        <is>
          <t>Conditional</t>
        </is>
      </c>
      <c r="H22" s="9" t="inlineStr">
        <is>
          <t>Do not apply an R-1 occupant trigger to R-2. If a podium A/B/M/R-1 load exceeds the published table, power-operate those occupancies’ accessible public entrances after source check</t>
        </is>
      </c>
      <c r="I22" s="16" t="inlineStr">
        <is>
          <t>Verify source</t>
        </is>
      </c>
    </row>
    <row r="23" ht="40" customHeight="1">
      <c r="A23" s="12" t="inlineStr">
        <is>
          <t>7. Entrances</t>
        </is>
      </c>
      <c r="B23" s="12" t="inlineStr">
        <is>
          <t>1105.1.2</t>
        </is>
      </c>
      <c r="C23" s="12" t="inlineStr">
        <is>
          <t>Parking-garage entrance</t>
        </is>
      </c>
      <c r="D23" s="12" t="inlineStr">
        <is>
          <t>Direct pedestrian access from parking structures to building/facility entrances shall be accessible</t>
        </is>
      </c>
      <c r="E23" s="12" t="inlineStr">
        <is>
          <t>Direct garage-to-building pedestrian access</t>
        </is>
      </c>
      <c r="F23" s="12" t="inlineStr">
        <is>
          <t>None stated</t>
        </is>
      </c>
      <c r="G23" s="11" t="inlineStr">
        <is>
          <t>Direct</t>
        </is>
      </c>
      <c r="H23" s="12" t="inlineStr">
        <is>
          <t>Provide an accessible pedestrian door from the parking structure into the tower</t>
        </is>
      </c>
      <c r="I23" s="11" t="inlineStr">
        <is>
          <t>Verified</t>
        </is>
      </c>
    </row>
    <row r="24" ht="56" customHeight="1">
      <c r="A24" s="9" t="inlineStr">
        <is>
          <t>7. Entrances</t>
        </is>
      </c>
      <c r="B24" s="9" t="inlineStr">
        <is>
          <t>1105.1.7</t>
        </is>
      </c>
      <c r="C24" s="9" t="inlineStr">
        <is>
          <t>Tenant entrance</t>
        </is>
      </c>
      <c r="D24" s="9" t="inlineStr">
        <is>
          <t>At least one accessible entrance to each tenant in a facility</t>
        </is>
      </c>
      <c r="E24" s="9" t="inlineStr">
        <is>
          <t>Multi-tenant facility</t>
        </is>
      </c>
      <c r="F24" s="9" t="inlineStr">
        <is>
          <t>Self-service storage not required to be accessible</t>
        </is>
      </c>
      <c r="G24" s="13" t="inlineStr">
        <is>
          <t>Conditional</t>
        </is>
      </c>
      <c r="H24" s="9" t="inlineStr">
        <is>
          <t>If podium tenancies exist, give each tenant an accessible entrance in addition to the 60% building count</t>
        </is>
      </c>
      <c r="I24" s="11" t="inlineStr">
        <is>
          <t>Verified</t>
        </is>
      </c>
    </row>
    <row r="25" ht="40" customHeight="1">
      <c r="A25" s="12" t="inlineStr">
        <is>
          <t>7. Entrances</t>
        </is>
      </c>
      <c r="B25" s="12" t="inlineStr">
        <is>
          <t>1105.1.8</t>
        </is>
      </c>
      <c r="C25" s="12" t="inlineStr">
        <is>
          <t>Unit entrance</t>
        </is>
      </c>
      <c r="D25" s="12" t="inlineStr">
        <is>
          <t>At least one accessible entrance to each dwelling/sleeping unit</t>
        </is>
      </c>
      <c r="E25" s="12" t="inlineStr">
        <is>
          <t>Dwelling and sleeping units</t>
        </is>
      </c>
      <c r="F25" s="12" t="inlineStr">
        <is>
          <t>Not required to units that are not Accessible, Type A or Type B</t>
        </is>
      </c>
      <c r="G25" s="11" t="inlineStr">
        <is>
          <t>Direct</t>
        </is>
      </c>
      <c r="H25" s="12" t="inlineStr">
        <is>
          <t>Every Type A and Type B unit gets an accessible entrance; shared lobby doors still count toward 60%</t>
        </is>
      </c>
      <c r="I25" s="11" t="inlineStr">
        <is>
          <t>Verified</t>
        </is>
      </c>
    </row>
    <row r="26" ht="40" customHeight="1">
      <c r="A26" s="9" t="inlineStr">
        <is>
          <t>8. Parking, vans and passenger loading</t>
        </is>
      </c>
      <c r="B26" s="9" t="inlineStr">
        <is>
          <t>1106.3 Item 1</t>
        </is>
      </c>
      <c r="C26" s="9" t="inlineStr">
        <is>
          <t>R-2 accessible parking</t>
        </is>
      </c>
      <c r="D26" s="9" t="inlineStr">
        <is>
          <t>At least 2 percent, but not less than one, of each type of parking space provided shall be accessible</t>
        </is>
      </c>
      <c r="E26" s="9" t="inlineStr">
        <is>
          <t>R-2 required to have Accessible, Type A or Type B units</t>
        </is>
      </c>
      <c r="F26" s="9" t="inlineStr">
        <is>
          <t>Table 1106.2 is the I-1/R-1 path (Item 2), not the R-2 default</t>
        </is>
      </c>
      <c r="G26" s="11" t="inlineStr">
        <is>
          <t>Direct</t>
        </is>
      </c>
      <c r="H26" s="9" t="inlineStr">
        <is>
          <t>Count resident, visitor and any other parking types separately and take 2% (≥ 1) of each</t>
        </is>
      </c>
      <c r="I26" s="11" t="inlineStr">
        <is>
          <t>Verified</t>
        </is>
      </c>
    </row>
    <row r="27" ht="72" customHeight="1">
      <c r="A27" s="12" t="inlineStr">
        <is>
          <t>8. Parking, vans and passenger loading</t>
        </is>
      </c>
      <c r="B27" s="12" t="inlineStr">
        <is>
          <t>1106.3 Item 3</t>
        </is>
      </c>
      <c r="C27" s="12" t="inlineStr">
        <is>
          <t>1:1 parking vs Type A</t>
        </is>
      </c>
      <c r="D27" s="12" t="inlineStr">
        <is>
          <t>Where at least one parking space is provided for each dwelling/sleeping unit, at least one accessible parking space shall be provided for each Accessible and Type A unit</t>
        </is>
      </c>
      <c r="E27" s="12" t="inlineStr">
        <is>
          <t>Parking provided at ≥ 1 space per unit</t>
        </is>
      </c>
      <c r="F27" s="12" t="inlineStr">
        <is>
          <t>Code does not state that Item 1 and Item 3 are additive</t>
        </is>
      </c>
      <c r="G27" s="13" t="inlineStr">
        <is>
          <t>Conditional</t>
        </is>
      </c>
      <c r="H27" s="12" t="inlineStr">
        <is>
          <t>If assigned 1:1 parking exists, provide an accessible stall for every Type A (and Accessible) unit and compare with Item 1</t>
        </is>
      </c>
      <c r="I27" s="11" t="inlineStr">
        <is>
          <t>Verified</t>
        </is>
      </c>
    </row>
    <row r="28" ht="56" customHeight="1">
      <c r="A28" s="9" t="inlineStr">
        <is>
          <t>8. Parking, vans and passenger loading</t>
        </is>
      </c>
      <c r="B28" s="9" t="inlineStr">
        <is>
          <t>1106.3 Item 4</t>
        </is>
      </c>
      <c r="C28" s="9" t="inlineStr">
        <is>
          <t>In-building parking</t>
        </is>
      </c>
      <c r="D28" s="9" t="inlineStr">
        <is>
          <t>Where parking is within or beneath a building, accessible parking shall also be within or beneath the building</t>
        </is>
      </c>
      <c r="E28" s="9" t="inlineStr">
        <is>
          <t>Parking in/under the building</t>
        </is>
      </c>
      <c r="F28" s="9" t="inlineStr">
        <is>
          <t>None stated</t>
        </is>
      </c>
      <c r="G28" s="11" t="inlineStr">
        <is>
          <t>Direct</t>
        </is>
      </c>
      <c r="H28" s="9" t="inlineStr">
        <is>
          <t>Put accessible stalls in the podium/basement garage, not only on the surface lot</t>
        </is>
      </c>
      <c r="I28" s="11" t="inlineStr">
        <is>
          <t>Verified</t>
        </is>
      </c>
    </row>
    <row r="29" ht="56" customHeight="1">
      <c r="A29" s="12" t="inlineStr">
        <is>
          <t>8. Parking, vans and passenger loading</t>
        </is>
      </c>
      <c r="B29" s="12" t="inlineStr">
        <is>
          <t>1106.6</t>
        </is>
      </c>
      <c r="C29" s="12" t="inlineStr">
        <is>
          <t>Van spaces</t>
        </is>
      </c>
      <c r="D29" s="12" t="inlineStr">
        <is>
          <t>For every six or fraction of six accessible parking spaces, at least one shall be van-accessible</t>
        </is>
      </c>
      <c r="E29" s="12" t="inlineStr">
        <is>
          <t>Accessible parking provided</t>
        </is>
      </c>
      <c r="F29" s="12" t="inlineStr">
        <is>
          <t>Group U private garages serving R-2/R-3: van routes/spaces/aisles permitted 2100 mm minimum vertical clearance</t>
        </is>
      </c>
      <c r="G29" s="11" t="inlineStr">
        <is>
          <t>Direct</t>
        </is>
      </c>
      <c r="H29" s="12" t="inlineStr">
        <is>
          <t>Provide 1-in-6 vans; use 2100 mm only for qualifying Group U private garages — do not import A117.1 van height from commentary</t>
        </is>
      </c>
      <c r="I29" s="11" t="inlineStr">
        <is>
          <t>Verified</t>
        </is>
      </c>
    </row>
    <row r="30" ht="40" customHeight="1">
      <c r="A30" s="9" t="inlineStr">
        <is>
          <t>8. Parking, vans and passenger loading</t>
        </is>
      </c>
      <c r="B30" s="9" t="inlineStr">
        <is>
          <t>1106.7 Ex. 1</t>
        </is>
      </c>
      <c r="C30" s="9" t="inlineStr">
        <is>
          <t>Van-space level</t>
        </is>
      </c>
      <c r="D30" s="9" t="inlineStr">
        <is>
          <t>In multilevel parking structures, van-accessible parking spaces are permitted on one level</t>
        </is>
      </c>
      <c r="E30" s="9" t="inlineStr">
        <is>
          <t>Multilevel parking</t>
        </is>
      </c>
      <c r="F30" s="9" t="inlineStr">
        <is>
          <t>Accessible spaces still dispersed; van-height millimetres are A117.1 (not imported)</t>
        </is>
      </c>
      <c r="G30" s="11" t="inlineStr">
        <is>
          <t>Direct</t>
        </is>
      </c>
      <c r="H30" s="9" t="inlineStr">
        <is>
          <t>Concentrate van stalls on the level that can provide the A117.1 van clearance</t>
        </is>
      </c>
      <c r="I30" s="11" t="inlineStr">
        <is>
          <t>Verified</t>
        </is>
      </c>
    </row>
    <row r="31" ht="40" customHeight="1">
      <c r="A31" s="12" t="inlineStr">
        <is>
          <t>8. Parking, vans and passenger loading</t>
        </is>
      </c>
      <c r="B31" s="12" t="inlineStr">
        <is>
          <t>Table 1106.2</t>
        </is>
      </c>
      <c r="C31" s="12" t="inlineStr">
        <is>
          <t>General parking table</t>
        </is>
      </c>
      <c r="D31" s="12" t="inlineStr">
        <is>
          <t>Flattened OCR table; no reconstructed stall-count cell is adopted</t>
        </is>
      </c>
      <c r="E31" s="12" t="inlineStr">
        <is>
          <t>Parking facilities using 1106.2</t>
        </is>
      </c>
      <c r="F31" s="12" t="inlineStr">
        <is>
          <t>R-2 residential parking uses 1106.3 first</t>
        </is>
      </c>
      <c r="G31" s="13" t="inlineStr">
        <is>
          <t>Conditional</t>
        </is>
      </c>
      <c r="H31" s="12" t="inlineStr">
        <is>
          <t>Use only for non-residential facilities or I-1/R-1 after published-source check</t>
        </is>
      </c>
      <c r="I31" s="16" t="inlineStr">
        <is>
          <t>Verify source</t>
        </is>
      </c>
    </row>
    <row r="32" ht="40" customHeight="1">
      <c r="A32" s="9" t="inlineStr">
        <is>
          <t>8. Parking, vans and passenger loading</t>
        </is>
      </c>
      <c r="B32" s="9" t="inlineStr">
        <is>
          <t>1106.9.1</t>
        </is>
      </c>
      <c r="C32" s="9" t="inlineStr">
        <is>
          <t>Continuous loading zone</t>
        </is>
      </c>
      <c r="D32" s="9" t="inlineStr">
        <is>
          <t>One accessible passenger loading zone in every continuous 30 m maximum</t>
        </is>
      </c>
      <c r="E32" s="9" t="inlineStr">
        <is>
          <t>Passenger loading zones provided</t>
        </is>
      </c>
      <c r="F32" s="9" t="inlineStr">
        <is>
          <t>None stated</t>
        </is>
      </c>
      <c r="G32" s="13" t="inlineStr">
        <is>
          <t>Conditional</t>
        </is>
      </c>
      <c r="H32" s="9" t="inlineStr">
        <is>
          <t>If a porte-cochère or kerbside drop-off exists, space accessible zones at ≤ 30 m</t>
        </is>
      </c>
      <c r="I32" s="11" t="inlineStr">
        <is>
          <t>Verified</t>
        </is>
      </c>
    </row>
    <row r="33" ht="56" customHeight="1">
      <c r="A33" s="12" t="inlineStr">
        <is>
          <t>8. Parking, vans and passenger loading</t>
        </is>
      </c>
      <c r="B33" s="12" t="inlineStr">
        <is>
          <t>1112.1 Item 2 Ex.</t>
        </is>
      </c>
      <c r="C33" s="12" t="inlineStr">
        <is>
          <t>Assigned-stall signage</t>
        </is>
      </c>
      <c r="D33" s="12" t="inlineStr">
        <is>
          <t>In Group R-2, where parking is assigned to specific units, identification of accessible parking spaces is not required</t>
        </is>
      </c>
      <c r="E33" s="12" t="inlineStr">
        <is>
          <t>1106.3 accessible spaces that are assigned</t>
        </is>
      </c>
      <c r="F33" s="12" t="inlineStr">
        <is>
          <t>Identification exception only; stalls still required</t>
        </is>
      </c>
      <c r="G33" s="13" t="inlineStr">
        <is>
          <t>Conditional</t>
        </is>
      </c>
      <c r="H33" s="12" t="inlineStr">
        <is>
          <t>Keep stall geometry; ISA signs may be omitted only for assigned unit spaces</t>
        </is>
      </c>
      <c r="I33" s="11" t="inlineStr">
        <is>
          <t>Verified</t>
        </is>
      </c>
    </row>
    <row r="34" ht="56" customHeight="1">
      <c r="A34" s="9" t="inlineStr">
        <is>
          <t>9. Electrical vehicle charging</t>
        </is>
      </c>
      <c r="B34" s="9" t="inlineStr">
        <is>
          <t>1107.2 Exception</t>
        </is>
      </c>
      <c r="C34" s="9" t="inlineStr">
        <is>
          <t>R-2 EV exemption</t>
        </is>
      </c>
      <c r="D34" s="9" t="inlineStr">
        <is>
          <t>EV charging stations provided to serve Groups R-2, R-3 and R-4 are not required to comply with Section 1107.2</t>
        </is>
      </c>
      <c r="E34" s="9" t="inlineStr">
        <is>
          <t>EV serving those occupancies</t>
        </is>
      </c>
      <c r="F34" s="9" t="inlineStr">
        <is>
          <t>Public/commercial EV on the same site is not this exception</t>
        </is>
      </c>
      <c r="G34" s="11" t="inlineStr">
        <is>
          <t>Direct</t>
        </is>
      </c>
      <c r="H34" s="9" t="inlineStr">
        <is>
          <t>Resident-assigned R-2 chargers are not scoped by 1107.2; still provide an accessible route to required accessible parking</t>
        </is>
      </c>
      <c r="I34" s="11" t="inlineStr">
        <is>
          <t>Verified</t>
        </is>
      </c>
    </row>
    <row r="35" ht="56" customHeight="1">
      <c r="A35" s="12" t="inlineStr">
        <is>
          <t>9. Electrical vehicle charging</t>
        </is>
      </c>
      <c r="B35" s="12" t="inlineStr">
        <is>
          <t>1107.2.1</t>
        </is>
      </c>
      <c r="C35" s="12" t="inlineStr">
        <is>
          <t>Accessible EV count</t>
        </is>
      </c>
      <c r="D35" s="12" t="inlineStr">
        <is>
          <t>Not less than 5 percent of vehicle spaces served by EV systems, but not fewer than one of each type, shall be accessible</t>
        </is>
      </c>
      <c r="E35" s="12" t="inlineStr">
        <is>
          <t>EV systems not covered by the R-2 serving exception</t>
        </is>
      </c>
      <c r="F35" s="12" t="inlineStr">
        <is>
          <t>None stated beyond 1107.2</t>
        </is>
      </c>
      <c r="G35" s="13" t="inlineStr">
        <is>
          <t>Conditional</t>
        </is>
      </c>
      <c r="H35" s="12" t="inlineStr">
        <is>
          <t>If podium/public chargers exist, reserve 5% (≥ 1 of each charger type)</t>
        </is>
      </c>
      <c r="I35" s="11" t="inlineStr">
        <is>
          <t>Verified</t>
        </is>
      </c>
    </row>
    <row r="36" ht="40" customHeight="1">
      <c r="A36" s="9" t="inlineStr">
        <is>
          <t>9. Electrical vehicle charging</t>
        </is>
      </c>
      <c r="B36" s="9" t="inlineStr">
        <is>
          <t>1107.2.2</t>
        </is>
      </c>
      <c r="C36" s="9" t="inlineStr">
        <is>
          <t>Accessible EV stall size</t>
        </is>
      </c>
      <c r="D36" s="9" t="inlineStr">
        <is>
          <t>3300 mm minimum vehicle-space width with adjoining access aisle 1500 mm minimum</t>
        </is>
      </c>
      <c r="E36" s="9" t="inlineStr">
        <is>
          <t>Accessible EV spaces required by 1107.2.1</t>
        </is>
      </c>
      <c r="F36" s="9" t="inlineStr">
        <is>
          <t>R-2 serving exception</t>
        </is>
      </c>
      <c r="G36" s="13" t="inlineStr">
        <is>
          <t>Conditional</t>
        </is>
      </c>
      <c r="H36" s="9" t="inlineStr">
        <is>
          <t>Do not substitute a narrower A117.1 van option; this section specifies 3300 + 1500</t>
        </is>
      </c>
      <c r="I36" s="11" t="inlineStr">
        <is>
          <t>Verified</t>
        </is>
      </c>
    </row>
    <row r="37" ht="72" customHeight="1">
      <c r="A37" s="12" t="inlineStr">
        <is>
          <t>10. Dwelling-unit mix (Accessible / Type A / Type B)</t>
        </is>
      </c>
      <c r="B37" s="12" t="inlineStr">
        <is>
          <t>1108.6.2.2.1</t>
        </is>
      </c>
      <c r="C37" s="12" t="inlineStr">
        <is>
          <t>Type A apartments</t>
        </is>
      </c>
      <c r="D37" s="12" t="inlineStr">
        <is>
          <t>In Group R-2 containing more than 20 dwelling/sleeping units, at least 2 percent but not less than one shall be Type A; all Group R-2 units on a site counted; disperse among classes</t>
        </is>
      </c>
      <c r="E37" s="12" t="inlineStr">
        <is>
          <t>Apartment houses / condominiums</t>
        </is>
      </c>
      <c r="F37" s="12" t="inlineStr">
        <is>
          <t>1. Reduction only as permitted by 1108.7. 2. Existing structures do not contribute to the site count</t>
        </is>
      </c>
      <c r="G37" s="11" t="inlineStr">
        <is>
          <t>Direct</t>
        </is>
      </c>
      <c r="H37" s="12" t="inlineStr">
        <is>
          <t>For a typical tower &gt; 20 units, provide ≥ 2% Type A, dispersed by bedroom class, calculated on the site</t>
        </is>
      </c>
      <c r="I37" s="11" t="inlineStr">
        <is>
          <t>Verified</t>
        </is>
      </c>
    </row>
    <row r="38" ht="56" customHeight="1">
      <c r="A38" s="9" t="inlineStr">
        <is>
          <t>10. Dwelling-unit mix (Accessible / Type A / Type B)</t>
        </is>
      </c>
      <c r="B38" s="9" t="inlineStr">
        <is>
          <t>1108.6.2.2.2</t>
        </is>
      </c>
      <c r="C38" s="9" t="inlineStr">
        <is>
          <t>Type B apartments</t>
        </is>
      </c>
      <c r="D38" s="9" t="inlineStr">
        <is>
          <t>Where four or more dwelling/sleeping units intended to be occupied as a residence are in a single structure, every such unit shall be Type B</t>
        </is>
      </c>
      <c r="E38" s="9" t="inlineStr">
        <is>
          <t>Apartment/condo structure</t>
        </is>
      </c>
      <c r="F38" s="9" t="inlineStr">
        <is>
          <t>Reduction permitted per 1108.7</t>
        </is>
      </c>
      <c r="G38" s="11" t="inlineStr">
        <is>
          <t>Direct</t>
        </is>
      </c>
      <c r="H38" s="9" t="inlineStr">
        <is>
          <t>Treat the high-rise as one structure; all residence units are Type B (Type A already exceeds Type B)</t>
        </is>
      </c>
      <c r="I38" s="11" t="inlineStr">
        <is>
          <t>Verified</t>
        </is>
      </c>
    </row>
    <row r="39" ht="56" customHeight="1">
      <c r="A39" s="12" t="inlineStr">
        <is>
          <t>10. Dwelling-unit mix (Accessible / Type A / Type B)</t>
        </is>
      </c>
      <c r="B39" s="12" t="inlineStr">
        <is>
          <t>1108.6.2.3.1 / Table 1108.6.1.1</t>
        </is>
      </c>
      <c r="C39" s="12" t="inlineStr">
        <is>
          <t>Accessible units (congregate)</t>
        </is>
      </c>
      <c r="D39" s="12" t="inlineStr">
        <is>
          <t>Accessible units per Table 1108.6.1.1, including without/with roll-in shower split; only one bedroom in a grouped unit counts toward required Accessible units</t>
        </is>
      </c>
      <c r="E39" s="12" t="inlineStr">
        <is>
          <t>R-2 other than live/work and apartment houses</t>
        </is>
      </c>
      <c r="F39" s="12" t="inlineStr">
        <is>
          <t>Flattened OCR table cells are not adopted</t>
        </is>
      </c>
      <c r="G39" s="13" t="inlineStr">
        <is>
          <t>Conditional</t>
        </is>
      </c>
      <c r="H39" s="12" t="inlineStr">
        <is>
          <t>Do not apply hotel/dorm Accessible-unit quotas to conventional apartments; verify published table if congregate bedrooms exist</t>
        </is>
      </c>
      <c r="I39" s="16" t="inlineStr">
        <is>
          <t>Verify source</t>
        </is>
      </c>
    </row>
    <row r="40" ht="56" customHeight="1">
      <c r="A40" s="9" t="inlineStr">
        <is>
          <t>10. Dwelling-unit mix (Accessible / Type A / Type B)</t>
        </is>
      </c>
      <c r="B40" s="9" t="inlineStr">
        <is>
          <t>1108.6.2.1</t>
        </is>
      </c>
      <c r="C40" s="9" t="inlineStr">
        <is>
          <t>Live/work units</t>
        </is>
      </c>
      <c r="D40" s="9" t="inlineStr">
        <is>
          <t>Nonresidential portion accessible; residential portion Type B if four or more live/work units intended as residence</t>
        </is>
      </c>
      <c r="E40" s="9" t="inlineStr">
        <is>
          <t>Section 419 live/work</t>
        </is>
      </c>
      <c r="F40" s="9" t="inlineStr">
        <is>
          <t>1108.7 Type B reductions</t>
        </is>
      </c>
      <c r="G40" s="13" t="inlineStr">
        <is>
          <t>Conditional</t>
        </is>
      </c>
      <c r="H40" s="9" t="inlineStr">
        <is>
          <t>If live/work appears in the podium, split residential vs work accessibility</t>
        </is>
      </c>
      <c r="I40" s="11" t="inlineStr">
        <is>
          <t>Verified</t>
        </is>
      </c>
    </row>
    <row r="41" ht="56" customHeight="1">
      <c r="A41" s="12" t="inlineStr">
        <is>
          <t>11. Section 1108.7 reductions (elevator high-rise)</t>
        </is>
      </c>
      <c r="B41" s="12" t="inlineStr">
        <is>
          <t>1108.7.3</t>
        </is>
      </c>
      <c r="C41" s="12" t="inlineStr">
        <is>
          <t>Elevator only to lowest unit story</t>
        </is>
      </c>
      <c r="D41" s="12" t="inlineStr">
        <is>
          <t>Where elevator service provides an accessible route only to the lowest story containing residence units, only units on that story need be Type B</t>
        </is>
      </c>
      <c r="E41" s="12" t="inlineStr">
        <is>
          <t>Elevator limited to the lowest unit story</t>
        </is>
      </c>
      <c r="F41" s="12" t="inlineStr">
        <is>
          <t>Upper unit stories then not Type B under this exception</t>
        </is>
      </c>
      <c r="G41" s="13" t="inlineStr">
        <is>
          <t>Conditional</t>
        </is>
      </c>
      <c r="H41" s="12" t="inlineStr">
        <is>
          <t>If the lift core serves all residential floors, this exception is not available</t>
        </is>
      </c>
      <c r="I41" s="11" t="inlineStr">
        <is>
          <t>Verified</t>
        </is>
      </c>
    </row>
    <row r="42" ht="88" customHeight="1">
      <c r="A42" s="9" t="inlineStr">
        <is>
          <t>11. Section 1108.7 reductions (elevator high-rise)</t>
        </is>
      </c>
      <c r="B42" s="9" t="inlineStr">
        <is>
          <t>1108.7.2</t>
        </is>
      </c>
      <c r="C42" s="9" t="inlineStr">
        <is>
          <t>Multistory units</t>
        </is>
      </c>
      <c r="D42" s="9" t="inlineStr">
        <is>
          <t>A multistory unit without elevator service is not required to be Type B; with external elevator to only one floor, that floor is the primary entry, shall be Type B, and shall contain living, kitchen and toilet where those are provided in the unit</t>
        </is>
      </c>
      <c r="E42" s="9" t="inlineStr">
        <is>
          <t>Multistory dwelling/sleeping units</t>
        </is>
      </c>
      <c r="F42" s="9" t="inlineStr">
        <is>
          <t>None stated for Type A</t>
        </is>
      </c>
      <c r="G42" s="13" t="inlineStr">
        <is>
          <t>Conditional</t>
        </is>
      </c>
      <c r="H42" s="9" t="inlineStr">
        <is>
          <t>Typical stacked apartments are single-story units; apply only to duplex/townhouse products</t>
        </is>
      </c>
      <c r="I42" s="11" t="inlineStr">
        <is>
          <t>Verified</t>
        </is>
      </c>
    </row>
    <row r="43" ht="72" customHeight="1">
      <c r="A43" s="12" t="inlineStr">
        <is>
          <t>12. Common toilets, kitchens, drinking fountains and lifts</t>
        </is>
      </c>
      <c r="B43" s="12" t="inlineStr">
        <is>
          <t>1110.2</t>
        </is>
      </c>
      <c r="C43" s="12" t="inlineStr">
        <is>
          <t>Toilet/bathing rooms</t>
        </is>
      </c>
      <c r="D43" s="12" t="inlineStr">
        <is>
          <t>Each toilet room and bathing room shall be accessible; at least one of each type of fixture/element/control/dispenser accessible</t>
        </is>
      </c>
      <c r="E43" s="12" t="inlineStr">
        <is>
          <t>Toilet/bathing rooms</t>
        </is>
      </c>
      <c r="F43" s="12" t="inlineStr">
        <is>
          <t>Ex. 2: rooms serving dwelling/sleeping units not required to be accessible by 1108. Ex. 3: clustered single-user rooms ≥ 50% (≥ 1 of each use). Do not locate the only toilets on a non-accessible floor</t>
        </is>
      </c>
      <c r="G43" s="11" t="inlineStr">
        <is>
          <t>Direct</t>
        </is>
      </c>
      <c r="H43" s="12" t="inlineStr">
        <is>
          <t>Make lobby, amenity and podium public toilets accessible; unit bathrooms follow A117.1 by unit type</t>
        </is>
      </c>
      <c r="I43" s="11" t="inlineStr">
        <is>
          <t>Verified</t>
        </is>
      </c>
    </row>
    <row r="44" ht="56" customHeight="1">
      <c r="A44" s="9" t="inlineStr">
        <is>
          <t>12. Common toilets, kitchens, drinking fountains and lifts</t>
        </is>
      </c>
      <c r="B44" s="9" t="inlineStr">
        <is>
          <t>1110.2.1</t>
        </is>
      </c>
      <c r="C44" s="9" t="inlineStr">
        <is>
          <t>Family/assisted-use toilet</t>
        </is>
      </c>
      <c r="D44" s="9" t="inlineStr">
        <is>
          <t>Required in assembly and mercantile where aggregate male+female water closets ≥ 6; travel ≤ 150 m and ≤ one story from separate-sex rooms</t>
        </is>
      </c>
      <c r="E44" s="9" t="inlineStr">
        <is>
          <t>Assembly/mercantile fixture count</t>
        </is>
      </c>
      <c r="F44" s="9" t="inlineStr">
        <is>
          <t>Mixed occupancy: count only A/M water closets</t>
        </is>
      </c>
      <c r="G44" s="13" t="inlineStr">
        <is>
          <t>Conditional</t>
        </is>
      </c>
      <c r="H44" s="9" t="inlineStr">
        <is>
          <t>If podium retail/assembly hits six WCs, add a family room on an accessible route</t>
        </is>
      </c>
      <c r="I44" s="11" t="inlineStr">
        <is>
          <t>Verified</t>
        </is>
      </c>
    </row>
    <row r="45" ht="56" customHeight="1">
      <c r="A45" s="12" t="inlineStr">
        <is>
          <t>12. Common toilets, kitchens, drinking fountains and lifts</t>
        </is>
      </c>
      <c r="B45" s="12" t="inlineStr">
        <is>
          <t>1110.2.4</t>
        </is>
      </c>
      <c r="C45" s="12" t="inlineStr">
        <is>
          <t>Compartments</t>
        </is>
      </c>
      <c r="D45" s="12" t="inlineStr">
        <is>
          <t>≥ 5% of compartments wheelchair-accessible; if compartments+urinals ≥ 6, ≥ 5% ambulatory-accessible in addition</t>
        </is>
      </c>
      <c r="E45" s="12" t="inlineStr">
        <is>
          <t>Multi-compartment toilets</t>
        </is>
      </c>
      <c r="F45" s="12" t="inlineStr">
        <is>
          <t>Unit bathrooms excepted via 1110.2 Ex. 2</t>
        </is>
      </c>
      <c r="G45" s="13" t="inlineStr">
        <is>
          <t>Conditional</t>
        </is>
      </c>
      <c r="H45" s="12" t="inlineStr">
        <is>
          <t>Size amenity toilets with a wheelchair stall; add ambulatory stall when the room is large</t>
        </is>
      </c>
      <c r="I45" s="11" t="inlineStr">
        <is>
          <t>Verified</t>
        </is>
      </c>
    </row>
    <row r="46" ht="56" customHeight="1">
      <c r="A46" s="9" t="inlineStr">
        <is>
          <t>12. Common toilets, kitchens, drinking fountains and lifts</t>
        </is>
      </c>
      <c r="B46" s="9" t="inlineStr">
        <is>
          <t>1110.2.5</t>
        </is>
      </c>
      <c r="C46" s="9" t="inlineStr">
        <is>
          <t>Lavatories</t>
        </is>
      </c>
      <c r="D46" s="9" t="inlineStr">
        <is>
          <t>≥ 5% (≥ 1) accessible; extra accessible lavatory if the only one is inside the accessible stall; ≥ 6 lavatories → one enhanced-reach</t>
        </is>
      </c>
      <c r="E46" s="9" t="inlineStr">
        <is>
          <t>Lavatories provided</t>
        </is>
      </c>
      <c r="F46" s="9" t="inlineStr">
        <is>
          <t>Enhanced reach per A117.1 (not imported)</t>
        </is>
      </c>
      <c r="G46" s="13" t="inlineStr">
        <is>
          <t>Conditional</t>
        </is>
      </c>
      <c r="H46" s="9" t="inlineStr">
        <is>
          <t>Do not hide the only accessible lavatory inside the accessible stall</t>
        </is>
      </c>
      <c r="I46" s="11" t="inlineStr">
        <is>
          <t>Verified</t>
        </is>
      </c>
    </row>
    <row r="47" ht="40" customHeight="1">
      <c r="A47" s="12" t="inlineStr">
        <is>
          <t>12. Common toilets, kitchens, drinking fountains and lifts</t>
        </is>
      </c>
      <c r="B47" s="12" t="inlineStr">
        <is>
          <t>1110.4</t>
        </is>
      </c>
      <c r="C47" s="12" t="inlineStr">
        <is>
          <t>Kitchens and kitchenettes</t>
        </is>
      </c>
      <c r="D47" s="12" t="inlineStr">
        <is>
          <t>Kitchens and kitchenettes in accessible spaces or rooms shall be accessible</t>
        </is>
      </c>
      <c r="E47" s="12" t="inlineStr">
        <is>
          <t>Common kitchens / kitchenettes</t>
        </is>
      </c>
      <c r="F47" s="12" t="inlineStr">
        <is>
          <t>Unit kitchens follow 1110.1 Exception / A117.1 (not imported)</t>
        </is>
      </c>
      <c r="G47" s="11" t="inlineStr">
        <is>
          <t>Direct</t>
        </is>
      </c>
      <c r="H47" s="12" t="inlineStr">
        <is>
          <t>Detail lobby pantry, resident lounge kitchen and staff break kitchenettes as accessible</t>
        </is>
      </c>
      <c r="I47" s="11" t="inlineStr">
        <is>
          <t>Verified</t>
        </is>
      </c>
    </row>
    <row r="48" ht="40" customHeight="1">
      <c r="A48" s="9" t="inlineStr">
        <is>
          <t>12. Common toilets, kitchens, drinking fountains and lifts</t>
        </is>
      </c>
      <c r="B48" s="9" t="inlineStr">
        <is>
          <t>1110.5.1</t>
        </is>
      </c>
      <c r="C48" s="9" t="inlineStr">
        <is>
          <t>Drinking fountains</t>
        </is>
      </c>
      <c r="D48" s="9" t="inlineStr">
        <is>
          <t>No fewer than two: one wheelchair, one standing (or dual-spout substitute)</t>
        </is>
      </c>
      <c r="E48" s="9" t="inlineStr">
        <is>
          <t>Drinking fountains provided on a floor/site/secured area</t>
        </is>
      </c>
      <c r="F48" s="9" t="inlineStr">
        <is>
          <t>Children’s standing spout 760 mm minimum</t>
        </is>
      </c>
      <c r="G48" s="13" t="inlineStr">
        <is>
          <t>Conditional</t>
        </is>
      </c>
      <c r="H48" s="9" t="inlineStr">
        <is>
          <t>If fountains are provided, install hi-lo; do not import SBC 701 fixture counts</t>
        </is>
      </c>
      <c r="I48" s="11" t="inlineStr">
        <is>
          <t>Verified</t>
        </is>
      </c>
    </row>
    <row r="49" ht="56" customHeight="1">
      <c r="A49" s="12" t="inlineStr">
        <is>
          <t>12. Common toilets, kitchens, drinking fountains and lifts</t>
        </is>
      </c>
      <c r="B49" s="12" t="inlineStr">
        <is>
          <t>1110.8</t>
        </is>
      </c>
      <c r="C49" s="12" t="inlineStr">
        <is>
          <t>Elevators</t>
        </is>
      </c>
      <c r="D49" s="12" t="inlineStr">
        <is>
          <t>Passenger elevators on an accessible route shall be accessible and comply with Chapter 30</t>
        </is>
      </c>
      <c r="E49" s="12" t="inlineStr">
        <is>
          <t>Passenger elevators on an accessible route</t>
        </is>
      </c>
      <c r="F49" s="12" t="inlineStr">
        <is>
          <t>Freight/construction elevators not this section</t>
        </is>
      </c>
      <c r="G49" s="15" t="inlineStr">
        <is>
          <t>External verification</t>
        </is>
      </c>
      <c r="H49" s="12" t="inlineStr">
        <is>
          <t>All passenger cars on the accessible route are accessible; stretcher/FSAE sizes live in Chapter 30 / 403, not here</t>
        </is>
      </c>
      <c r="I49" s="11" t="inlineStr">
        <is>
          <t>Verified</t>
        </is>
      </c>
    </row>
    <row r="50" ht="56" customHeight="1">
      <c r="A50" s="9" t="inlineStr">
        <is>
          <t>12. Common toilets, kitchens, drinking fountains and lifts</t>
        </is>
      </c>
      <c r="B50" s="9" t="inlineStr">
        <is>
          <t>1110.9 Item 4</t>
        </is>
      </c>
      <c r="C50" s="9" t="inlineStr">
        <is>
          <t>Platform lifts in units</t>
        </is>
      </c>
      <c r="D50" s="9" t="inlineStr">
        <is>
          <t>Platform lifts permitted on a required accessible route within an individual Accessible, Type A or Type B unit</t>
        </is>
      </c>
      <c r="E50" s="9" t="inlineStr">
        <is>
          <t>New construction</t>
        </is>
      </c>
      <c r="F50" s="9" t="inlineStr">
        <is>
          <t>ASME A18.1 (not imported)</t>
        </is>
      </c>
      <c r="G50" s="13" t="inlineStr">
        <is>
          <t>Conditional</t>
        </is>
      </c>
      <c r="H50" s="9" t="inlineStr">
        <is>
          <t>Use a lift inside a multi-level Type A unit only if chosen; it does not replace building elevators</t>
        </is>
      </c>
      <c r="I50" s="11" t="inlineStr">
        <is>
          <t>Verified</t>
        </is>
      </c>
    </row>
    <row r="51" ht="40" customHeight="1">
      <c r="A51" s="12" t="inlineStr">
        <is>
          <t>13. Recreational facilities</t>
        </is>
      </c>
      <c r="B51" s="12" t="inlineStr">
        <is>
          <t>1111.2.1</t>
        </is>
      </c>
      <c r="C51" s="12" t="inlineStr">
        <is>
          <t>Recreation serving Accessible units</t>
        </is>
      </c>
      <c r="D51" s="12" t="inlineStr">
        <is>
          <t>Every recreational facility of each type serving Accessible units shall be accessible</t>
        </is>
      </c>
      <c r="E51" s="12" t="inlineStr">
        <is>
          <t>R-2/R-4 where recreation serves Accessible units</t>
        </is>
      </c>
      <c r="F51" s="12" t="inlineStr">
        <is>
          <t>Applies if 1108.6.2.3 Accessible units exist</t>
        </is>
      </c>
      <c r="G51" s="13" t="inlineStr">
        <is>
          <t>Conditional</t>
        </is>
      </c>
      <c r="H51" s="12" t="inlineStr">
        <is>
          <t>Conventional apartments without Accessible units do not use this 100% rule</t>
        </is>
      </c>
      <c r="I51" s="11" t="inlineStr">
        <is>
          <t>Verified</t>
        </is>
      </c>
    </row>
    <row r="52" ht="40" customHeight="1">
      <c r="A52" s="9" t="inlineStr">
        <is>
          <t>13. Recreational facilities</t>
        </is>
      </c>
      <c r="B52" s="9" t="inlineStr">
        <is>
          <t>1111.2.2</t>
        </is>
      </c>
      <c r="C52" s="9" t="inlineStr">
        <is>
          <t>Recreation serving Type A/B (single building)</t>
        </is>
      </c>
      <c r="D52" s="9" t="inlineStr">
        <is>
          <t>25 percent, but not less than one, of each type of recreational facility shall be accessible</t>
        </is>
      </c>
      <c r="E52" s="9" t="inlineStr">
        <is>
          <t>Recreation serving a single building containing Type A or Type B units</t>
        </is>
      </c>
      <c r="F52" s="9" t="inlineStr">
        <is>
          <t>Count every facility of each type on the site to determine the number</t>
        </is>
      </c>
      <c r="G52" s="11" t="inlineStr">
        <is>
          <t>Direct</t>
        </is>
      </c>
      <c r="H52" s="9" t="inlineStr">
        <is>
          <t>For one tower, make ≥ 25% (≥ 1) of each pool, court, gym, playground type accessible</t>
        </is>
      </c>
      <c r="I52" s="11" t="inlineStr">
        <is>
          <t>Verified</t>
        </is>
      </c>
    </row>
    <row r="53" ht="72" customHeight="1">
      <c r="A53" s="12" t="inlineStr">
        <is>
          <t>13. Recreational facilities</t>
        </is>
      </c>
      <c r="B53" s="12" t="inlineStr">
        <is>
          <t>1111.4.14 Ex. 3</t>
        </is>
      </c>
      <c r="C53" s="12" t="inlineStr">
        <is>
          <t>Pool water entry</t>
        </is>
      </c>
      <c r="D53" s="12" t="inlineStr">
        <is>
          <t>Pools/spas required to be accessible only by 1111.2.2 / 1111.2.3 are not required to provide accessible means of entry into the water</t>
        </is>
      </c>
      <c r="E53" s="12" t="inlineStr">
        <is>
          <t>Type A/B recreation scoping</t>
        </is>
      </c>
      <c r="F53" s="12" t="inlineStr">
        <is>
          <t>Does not apply where 1111.2.1 requires every facility serving Accessible units</t>
        </is>
      </c>
      <c r="G53" s="11" t="inlineStr">
        <is>
          <t>Direct</t>
        </is>
      </c>
      <c r="H53" s="12" t="inlineStr">
        <is>
          <t>Provide an accessible route to the pool; water-entry equipment is not scoped by 1111.2.2/2.3. Technical entry methods remain in A117.1 if otherwise required</t>
        </is>
      </c>
      <c r="I53" s="11" t="inlineStr">
        <is>
          <t>Verified</t>
        </is>
      </c>
    </row>
    <row r="54" ht="40" customHeight="1">
      <c r="A54" s="9" t="inlineStr">
        <is>
          <t>13. Recreational facilities</t>
        </is>
      </c>
      <c r="B54" s="9" t="inlineStr">
        <is>
          <t>1111.4.10</t>
        </is>
      </c>
      <c r="C54" s="9" t="inlineStr">
        <is>
          <t>Exercise machines</t>
        </is>
      </c>
      <c r="D54" s="9" t="inlineStr">
        <is>
          <t>At least one of each type of exercise machine and equipment shall be on an accessible route</t>
        </is>
      </c>
      <c r="E54" s="9" t="inlineStr">
        <is>
          <t>Exercise machines provided</t>
        </is>
      </c>
      <c r="F54" s="9" t="inlineStr">
        <is>
          <t>Operable-part heights are A117.1 (not imported)</t>
        </is>
      </c>
      <c r="G54" s="13" t="inlineStr">
        <is>
          <t>Conditional</t>
        </is>
      </c>
      <c r="H54" s="9" t="inlineStr">
        <is>
          <t>Put at least one of each gym machine type on the accessible route</t>
        </is>
      </c>
      <c r="I54" s="11" t="inlineStr">
        <is>
          <t>Verified</t>
        </is>
      </c>
    </row>
    <row r="55" ht="40" customHeight="1">
      <c r="A55" s="12" t="inlineStr">
        <is>
          <t>13. Recreational facilities</t>
        </is>
      </c>
      <c r="B55" s="12" t="inlineStr">
        <is>
          <t>1111.4.2</t>
        </is>
      </c>
      <c r="C55" s="12" t="inlineStr">
        <is>
          <t>Player seating</t>
        </is>
      </c>
      <c r="D55" s="12" t="inlineStr">
        <is>
          <t>At least one wheelchair space in team/player seating serving areas of sport activity</t>
        </is>
      </c>
      <c r="E55" s="12" t="inlineStr">
        <is>
          <t>Team/player seating provided</t>
        </is>
      </c>
      <c r="F55" s="12" t="inlineStr">
        <is>
          <t>Bowling-lane exception</t>
        </is>
      </c>
      <c r="G55" s="13" t="inlineStr">
        <is>
          <t>Conditional</t>
        </is>
      </c>
      <c r="H55" s="12" t="inlineStr">
        <is>
          <t>If a court has player benches, provide one wheelchair space</t>
        </is>
      </c>
      <c r="I55" s="11" t="inlineStr">
        <is>
          <t>Verified</t>
        </is>
      </c>
    </row>
    <row r="56" ht="40" customHeight="1">
      <c r="A56" s="9" t="inlineStr">
        <is>
          <t>13. Recreational facilities</t>
        </is>
      </c>
      <c r="B56" s="9" t="inlineStr">
        <is>
          <t>1111.4.4</t>
        </is>
      </c>
      <c r="C56" s="9" t="inlineStr">
        <is>
          <t>Court sides</t>
        </is>
      </c>
      <c r="D56" s="9" t="inlineStr">
        <is>
          <t>At least one accessible route shall directly connect both sides of the court</t>
        </is>
      </c>
      <c r="E56" s="9" t="inlineStr">
        <is>
          <t>Court sports</t>
        </is>
      </c>
      <c r="F56" s="9" t="inlineStr">
        <is>
          <t>None stated</t>
        </is>
      </c>
      <c r="G56" s="13" t="inlineStr">
        <is>
          <t>Conditional</t>
        </is>
      </c>
      <c r="H56" s="9" t="inlineStr">
        <is>
          <t>If tennis/padel/basketball courts exist, connect both sides without leaving the court area</t>
        </is>
      </c>
      <c r="I56" s="11" t="inlineStr">
        <is>
          <t>Verified</t>
        </is>
      </c>
    </row>
    <row r="57" ht="56" customHeight="1">
      <c r="A57" s="12" t="inlineStr">
        <is>
          <t>14. Signage</t>
        </is>
      </c>
      <c r="B57" s="12" t="inlineStr">
        <is>
          <t>1112.1 Items 4–7</t>
        </is>
      </c>
      <c r="C57" s="12" t="inlineStr">
        <is>
          <t>Partial-access identification</t>
        </is>
      </c>
      <c r="D57" s="12" t="inlineStr">
        <is>
          <t>Identify accessible toilets, entrances, check-out aisles and dressing/locker rooms where not all are accessible</t>
        </is>
      </c>
      <c r="E57" s="12" t="inlineStr">
        <is>
          <t>Mixed accessible/non-accessible sets</t>
        </is>
      </c>
      <c r="F57" s="12" t="inlineStr">
        <is>
          <t>None stated</t>
        </is>
      </c>
      <c r="G57" s="11" t="inlineStr">
        <is>
          <t>Direct</t>
        </is>
      </c>
      <c r="H57" s="12" t="inlineStr">
        <is>
          <t>Sign the accessible lobby entrance if any public entrance remains inaccessible</t>
        </is>
      </c>
      <c r="I57" s="11" t="inlineStr">
        <is>
          <t>Verified</t>
        </is>
      </c>
    </row>
    <row r="58" ht="40" customHeight="1">
      <c r="A58" s="9" t="inlineStr">
        <is>
          <t>14. Signage</t>
        </is>
      </c>
      <c r="B58" s="9" t="inlineStr">
        <is>
          <t>1112.1 Items 8–9</t>
        </is>
      </c>
      <c r="C58" s="9" t="inlineStr">
        <is>
          <t>Accessible MOE signs</t>
        </is>
      </c>
      <c r="D58" s="9" t="inlineStr">
        <is>
          <t>Accessible areas of refuge and exterior areas for assisted rescue in accordance with Section 1009.9</t>
        </is>
      </c>
      <c r="E58" s="9" t="inlineStr">
        <is>
          <t>Those elements provided</t>
        </is>
      </c>
      <c r="F58" s="9" t="inlineStr">
        <is>
          <t>Values not in Chapter 11</t>
        </is>
      </c>
      <c r="G58" s="15" t="inlineStr">
        <is>
          <t>External verification</t>
        </is>
      </c>
      <c r="H58" s="9" t="inlineStr">
        <is>
          <t>Coordinate ISA with the Chapter 10 accessible-egress package</t>
        </is>
      </c>
      <c r="I58" s="11" t="inlineStr">
        <is>
          <t>Verified</t>
        </is>
      </c>
    </row>
    <row r="59" ht="72" customHeight="1">
      <c r="A59" s="12" t="inlineStr">
        <is>
          <t>14. Signage</t>
        </is>
      </c>
      <c r="B59" s="12" t="inlineStr">
        <is>
          <t>1112.3</t>
        </is>
      </c>
      <c r="C59" s="12" t="inlineStr">
        <is>
          <t>Directional signs</t>
        </is>
      </c>
      <c r="D59" s="12" t="inlineStr">
        <is>
          <t>Directional ISA signage at inaccessible entrances, toilets, elevators not on an accessible route, family-toilet locations, exits not providing approved accessible MOE (1009.10), and split hi-lo fountains</t>
        </is>
      </c>
      <c r="E59" s="12" t="inlineStr">
        <is>
          <t>Those conditions</t>
        </is>
      </c>
      <c r="F59" s="12" t="inlineStr">
        <is>
          <t>Visual characters per A117.1 (not imported)</t>
        </is>
      </c>
      <c r="G59" s="11" t="inlineStr">
        <is>
          <t>Direct</t>
        </is>
      </c>
      <c r="H59" s="12" t="inlineStr">
        <is>
          <t>Place directional copy at every inaccessible public entrance</t>
        </is>
      </c>
      <c r="I59" s="11" t="inlineStr">
        <is>
          <t>Verified</t>
        </is>
      </c>
    </row>
    <row r="60" ht="56" customHeight="1">
      <c r="A60" s="9" t="inlineStr">
        <is>
          <t>15. Podium, amenity and assembly (conditional)</t>
        </is>
      </c>
      <c r="B60" s="9" t="inlineStr">
        <is>
          <t>Table 1109.2.2.1</t>
        </is>
      </c>
      <c r="C60" s="9" t="inlineStr">
        <is>
          <t>Wheelchair spaces</t>
        </is>
      </c>
      <c r="D60" s="9" t="inlineStr">
        <is>
          <t>Flattened OCR table; no reconstructed seating-capacity cell is adopted</t>
        </is>
      </c>
      <c r="E60" s="9" t="inlineStr">
        <is>
          <t>Assembly with fixed seating</t>
        </is>
      </c>
      <c r="F60" s="9" t="inlineStr">
        <is>
          <t>Companion seat per 1109.2.3; 5% designated aisle seats</t>
        </is>
      </c>
      <c r="G60" s="13" t="inlineStr">
        <is>
          <t>Conditional</t>
        </is>
      </c>
      <c r="H60" s="9" t="inlineStr">
        <is>
          <t>If a cinema, mosque hall or lecture room has fixed seats, apply the published table after source check</t>
        </is>
      </c>
      <c r="I60" s="16" t="inlineStr">
        <is>
          <t>Verify source</t>
        </is>
      </c>
    </row>
    <row r="61" ht="40" customHeight="1">
      <c r="A61" s="12" t="inlineStr">
        <is>
          <t>15. Podium, amenity and assembly (conditional)</t>
        </is>
      </c>
      <c r="B61" s="12" t="inlineStr">
        <is>
          <t>1109.2.5</t>
        </is>
      </c>
      <c r="C61" s="12" t="inlineStr">
        <is>
          <t>Designated aisle seats</t>
        </is>
      </c>
      <c r="D61" s="12" t="inlineStr">
        <is>
          <t>≥ 5% (≥ 1) of aisle seats, closest to accessible routes</t>
        </is>
      </c>
      <c r="E61" s="12" t="inlineStr">
        <is>
          <t>Aisle seats provided</t>
        </is>
      </c>
      <c r="F61" s="12" t="inlineStr">
        <is>
          <t>Not required in team/player seating</t>
        </is>
      </c>
      <c r="G61" s="13" t="inlineStr">
        <is>
          <t>Conditional</t>
        </is>
      </c>
      <c r="H61" s="12" t="inlineStr">
        <is>
          <t>Mark aisle seats nearest the accessible route in amenity auditoria</t>
        </is>
      </c>
      <c r="I61" s="11" t="inlineStr">
        <is>
          <t>Verified</t>
        </is>
      </c>
    </row>
    <row r="62" ht="56" customHeight="1">
      <c r="A62" s="9" t="inlineStr">
        <is>
          <t>15. Podium, amenity and assembly (conditional)</t>
        </is>
      </c>
      <c r="B62" s="9" t="inlineStr">
        <is>
          <t>1109.2.9.1</t>
        </is>
      </c>
      <c r="C62" s="9" t="inlineStr">
        <is>
          <t>Dining surfaces</t>
        </is>
      </c>
      <c r="D62" s="9" t="inlineStr">
        <is>
          <t>≥ 5% (≥ 1) of dining surfaces for seating and standing spaces accessible, distributed, on an accessible level</t>
        </is>
      </c>
      <c r="E62" s="9" t="inlineStr">
        <is>
          <t>Dining surfaces provided</t>
        </is>
      </c>
      <c r="F62" s="9" t="inlineStr">
        <is>
          <t>Mezzanine &lt; 25% dining area exception</t>
        </is>
      </c>
      <c r="G62" s="13" t="inlineStr">
        <is>
          <t>Conditional</t>
        </is>
      </c>
      <c r="H62" s="9" t="inlineStr">
        <is>
          <t>Provide wheelchair dining in café/amenity restaurant</t>
        </is>
      </c>
      <c r="I62" s="11" t="inlineStr">
        <is>
          <t>Verified</t>
        </is>
      </c>
    </row>
    <row r="63" ht="40" customHeight="1">
      <c r="A63" s="12" t="inlineStr">
        <is>
          <t>15. Podium, amenity and assembly (conditional)</t>
        </is>
      </c>
      <c r="B63" s="12" t="inlineStr">
        <is>
          <t>Table 1109.2.7.1</t>
        </is>
      </c>
      <c r="C63" s="12" t="inlineStr">
        <is>
          <t>ALS receivers</t>
        </is>
      </c>
      <c r="D63" s="12" t="inlineStr">
        <is>
          <t>Flattened OCR table; asterisks unresolved; no reconstructed receiver-count cell is adopted</t>
        </is>
      </c>
      <c r="E63" s="12" t="inlineStr">
        <is>
          <t>Assembly where audible communication is integral</t>
        </is>
      </c>
      <c r="F63" s="12" t="inlineStr">
        <is>
          <t>Not required (except courtrooms) where there is no audio amplification; induction-loop HAC exception</t>
        </is>
      </c>
      <c r="G63" s="13" t="inlineStr">
        <is>
          <t>Conditional</t>
        </is>
      </c>
      <c r="H63" s="12" t="inlineStr">
        <is>
          <t>If an amenity hall has a PA, provide receivers after published-source check of the table</t>
        </is>
      </c>
      <c r="I63" s="16" t="inlineStr">
        <is>
          <t>Verify source</t>
        </is>
      </c>
    </row>
    <row r="64" ht="40" customHeight="1">
      <c r="A64" s="9" t="inlineStr">
        <is>
          <t>16. High-rise and outbound controls</t>
        </is>
      </c>
      <c r="B64" s="9" t="inlineStr">
        <is>
          <t>1009 (named)</t>
        </is>
      </c>
      <c r="C64" s="9" t="inlineStr">
        <is>
          <t>Accessible means of egress</t>
        </is>
      </c>
      <c r="D64" s="9" t="inlineStr">
        <is>
          <t>Chapter 11 repeatedly sends accessible egress to Section 1009</t>
        </is>
      </c>
      <c r="E64" s="9" t="inlineStr">
        <is>
          <t>Accessible floors and occupied roofs</t>
        </is>
      </c>
      <c r="F64" s="9" t="inlineStr">
        <is>
          <t>No 1009 values imported</t>
        </is>
      </c>
      <c r="G64" s="15" t="inlineStr">
        <is>
          <t>External verification</t>
        </is>
      </c>
      <c r="H64" s="9" t="inlineStr">
        <is>
          <t>Use the Chapter 10 R-2 matrix for AMOE; do not copy those numbers here</t>
        </is>
      </c>
      <c r="I64" s="11" t="inlineStr">
        <is>
          <t>Verified</t>
        </is>
      </c>
    </row>
    <row r="65" ht="56" customHeight="1">
      <c r="A65" s="12" t="inlineStr">
        <is>
          <t>16. High-rise and outbound controls</t>
        </is>
      </c>
      <c r="B65" s="12" t="inlineStr">
        <is>
          <t>1110.8 / Ch. 30 / 403</t>
        </is>
      </c>
      <c r="C65" s="12" t="inlineStr">
        <is>
          <t>Elevators</t>
        </is>
      </c>
      <c r="D65" s="12" t="inlineStr">
        <is>
          <t>Passenger elevators on the accessible route: accessible + Chapter 30. Commentary also names stretcher, 1009.2.1 and 36 m FSAE — commentary numbers are not adopted</t>
        </is>
      </c>
      <c r="E65" s="12" t="inlineStr">
        <is>
          <t>Elevators / high-rise</t>
        </is>
      </c>
      <c r="F65" s="12" t="inlineStr">
        <is>
          <t>Charging 1110.8 does not itself state 36 m or four-storey triggers</t>
        </is>
      </c>
      <c r="G65" s="15" t="inlineStr">
        <is>
          <t>External verification</t>
        </is>
      </c>
      <c r="H65" s="12" t="inlineStr">
        <is>
          <t>Coordinate stretcher, FSAE and occupant-evacuation elevators from Chapter 30 / 403, not from Chapter 11 commentary</t>
        </is>
      </c>
      <c r="I65" s="11" t="inlineStr">
        <is>
          <t>Verified</t>
        </is>
      </c>
    </row>
    <row r="66" ht="40" customHeight="1">
      <c r="A66" s="9" t="inlineStr">
        <is>
          <t>16. High-rise and outbound controls</t>
        </is>
      </c>
      <c r="B66" s="9" t="inlineStr">
        <is>
          <t>SBC 901 §306</t>
        </is>
      </c>
      <c r="C66" s="9" t="inlineStr">
        <is>
          <t>Existing buildings</t>
        </is>
      </c>
      <c r="D66" s="9" t="inlineStr">
        <is>
          <t>Named in General Comments only</t>
        </is>
      </c>
      <c r="E66" s="9" t="inlineStr">
        <is>
          <t>Existing buildings</t>
        </is>
      </c>
      <c r="F66" s="9" t="inlineStr">
        <is>
          <t>Not quantified in this chapter’s code paragraphs</t>
        </is>
      </c>
      <c r="G66" s="15" t="inlineStr">
        <is>
          <t>External verification</t>
        </is>
      </c>
      <c r="H66" s="9" t="inlineStr">
        <is>
          <t>Alterations are outside this new-construction extract</t>
        </is>
      </c>
      <c r="I66" s="11" t="inlineStr">
        <is>
          <t>Verified</t>
        </is>
      </c>
    </row>
  </sheetData>
  <mergeCells count="2">
    <mergeCell ref="A1:I1"/>
    <mergeCell ref="A2:I2"/>
  </mergeCells>
  <conditionalFormatting sqref="G5:G66">
    <cfRule type="expression" priority="1" dxfId="0">
      <formula>G5="Direct"</formula>
    </cfRule>
    <cfRule type="expression" priority="3" dxfId="1">
      <formula>G5="Conditional"</formula>
    </cfRule>
    <cfRule type="expression" priority="5" dxfId="2">
      <formula>G5="External verification"</formula>
    </cfRule>
    <cfRule type="expression" priority="7" dxfId="3">
      <formula>G5="Not typical"</formula>
    </cfRule>
    <cfRule type="expression" priority="9" dxfId="0">
      <formula>G5="Verified"</formula>
    </cfRule>
    <cfRule type="expression" priority="11" dxfId="4">
      <formula>G5="Verify source"</formula>
    </cfRule>
  </conditionalFormatting>
  <conditionalFormatting sqref="I5:I66">
    <cfRule type="expression" priority="2" dxfId="0">
      <formula>I5="Direct"</formula>
    </cfRule>
    <cfRule type="expression" priority="4" dxfId="1">
      <formula>I5="Conditional"</formula>
    </cfRule>
    <cfRule type="expression" priority="6" dxfId="2">
      <formula>I5="External verification"</formula>
    </cfRule>
    <cfRule type="expression" priority="8" dxfId="3">
      <formula>I5="Not typical"</formula>
    </cfRule>
    <cfRule type="expression" priority="10" dxfId="0">
      <formula>I5="Verified"</formula>
    </cfRule>
    <cfRule type="expression" priority="12" dxfId="4">
      <formula>I5="Verify source"</formula>
    </cfRule>
  </conditionalFormatting>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B9"/>
  <sheetViews>
    <sheetView showGridLines="0" workbookViewId="0">
      <pane ySplit="3" topLeftCell="A4" activePane="bottomLeft" state="frozen"/>
      <selection pane="bottomLeft" activeCell="A1" sqref="A1"/>
    </sheetView>
  </sheetViews>
  <sheetFormatPr baseColWidth="8" defaultRowHeight="15"/>
  <cols>
    <col width="8" customWidth="1" min="1" max="1"/>
    <col width="140" customWidth="1" min="2" max="2"/>
  </cols>
  <sheetData>
    <row r="1">
      <c r="A1" s="10" t="inlineStr">
        <is>
          <t>Project-use controls</t>
        </is>
      </c>
    </row>
    <row r="3" ht="28" customHeight="1">
      <c r="A3" s="3" t="inlineStr">
        <is>
          <t>#</t>
        </is>
      </c>
      <c r="B3" s="3" t="inlineStr">
        <is>
          <t>Control</t>
        </is>
      </c>
    </row>
    <row r="4" ht="28" customHeight="1">
      <c r="A4" s="7" t="n">
        <v>1</v>
      </c>
      <c r="B4" s="5" t="inlineStr">
        <is>
          <t>Use Verified rows for initial scoping after the row trigger and branch are confirmed.</t>
        </is>
      </c>
    </row>
    <row r="5" ht="40" customHeight="1">
      <c r="A5" s="8" t="n">
        <v>2</v>
      </c>
      <c r="B5" s="9" t="inlineStr">
        <is>
          <t>Treat every Verify source row (all reconstructed appended tables) as a design hold point; no affected value is to be placed in issued-for-approval drawings without a published-source check.</t>
        </is>
      </c>
    </row>
    <row r="6" ht="28" customHeight="1">
      <c r="A6" s="7" t="n">
        <v>3</v>
      </c>
      <c r="B6" s="5" t="inlineStr">
        <is>
          <t>Do not apply Table 1108.6.1.1 Accessible-unit quotas to conventional R-2 apartments.</t>
        </is>
      </c>
    </row>
    <row r="7" ht="28" customHeight="1">
      <c r="A7" s="8" t="n">
        <v>4</v>
      </c>
      <c r="B7" s="9" t="inlineStr">
        <is>
          <t>Do not apply Table 1105.1.1 power-door occupant loads to Group R-2.</t>
        </is>
      </c>
    </row>
    <row r="8" ht="40" customHeight="1">
      <c r="A8" s="7" t="n">
        <v>5</v>
      </c>
      <c r="B8" s="5" t="inlineStr">
        <is>
          <t>Do not import ICC A117.1 millimetres, Chapter 10 AMOE dimensions, or commentary examples (810 mm doors, 2500 mm van height, 2050 mm vs 2100 mm, 50°C shower temperature).</t>
        </is>
      </c>
    </row>
    <row r="9" ht="28" customHeight="1">
      <c r="A9" s="8" t="n">
        <v>6</v>
      </c>
      <c r="B9" s="9" t="inlineStr">
        <is>
          <t>Record AHJ, unit-type, parking and recreation decisions in the project Golden Thread; this matrix is not evidence of SCD NOC or stamped compliance.</t>
        </is>
      </c>
    </row>
  </sheetData>
  <mergeCells count="1">
    <mergeCell ref="A1:B1"/>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E37"/>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24" customWidth="1" min="3" max="3"/>
    <col width="18" customWidth="1" min="4" max="4"/>
    <col width="24" customWidth="1" min="5" max="5"/>
  </cols>
  <sheetData>
    <row r="1">
      <c r="A1" s="10" t="inlineStr">
        <is>
          <t>Coverage summary</t>
        </is>
      </c>
    </row>
    <row r="2" ht="32" customHeight="1">
      <c r="A2" s="17" t="inlineStr">
        <is>
          <t>Internal inventory of the attached Chapter 11 extract (numbered code, exceptions, tables, footnotes; commentary excluded). Row-level records are not published.</t>
        </is>
      </c>
    </row>
    <row r="4" ht="28" customHeight="1">
      <c r="A4" s="3" t="inlineStr">
        <is>
          <t>Metric</t>
        </is>
      </c>
      <c r="B4" s="3" t="inlineStr">
        <is>
          <t>Value</t>
        </is>
      </c>
    </row>
    <row r="5">
      <c r="A5" s="18" t="inlineStr">
        <is>
          <t>Inventory scope</t>
        </is>
      </c>
      <c r="B5" s="19" t="inlineStr">
        <is>
          <t>numbered code, exceptions, tables, footnotes (commentary excluded)</t>
        </is>
      </c>
    </row>
    <row r="6">
      <c r="A6" s="18" t="inlineStr">
        <is>
          <t>Total independently checkable numeric records</t>
        </is>
      </c>
      <c r="B6" s="20" t="n">
        <v>276</v>
      </c>
    </row>
    <row r="7">
      <c r="A7" s="21" t="inlineStr">
        <is>
          <t>Verified</t>
        </is>
      </c>
      <c r="B7" s="22" t="n">
        <v>192</v>
      </c>
    </row>
    <row r="8">
      <c r="A8" s="23" t="inlineStr">
        <is>
          <t>Verify source</t>
        </is>
      </c>
      <c r="B8" s="24" t="n">
        <v>84</v>
      </c>
    </row>
    <row r="9">
      <c r="A9" s="18" t="inlineStr">
        <is>
          <t>Numeric records in Sections 1101 and 1102</t>
        </is>
      </c>
      <c r="B9" s="20" t="n">
        <v>0</v>
      </c>
    </row>
    <row r="11">
      <c r="A11" s="6" t="inlineStr">
        <is>
          <t>Counts by top-level section</t>
        </is>
      </c>
    </row>
    <row r="12" ht="28" customHeight="1">
      <c r="A12" s="3" t="inlineStr">
        <is>
          <t>Top-level section</t>
        </is>
      </c>
      <c r="B12" s="3" t="inlineStr">
        <is>
          <t>Records</t>
        </is>
      </c>
    </row>
    <row r="13" ht="28" customHeight="1">
      <c r="A13" s="12" t="inlineStr">
        <is>
          <t>1101</t>
        </is>
      </c>
      <c r="B13" s="25" t="n">
        <v>0</v>
      </c>
    </row>
    <row r="14" ht="28" customHeight="1">
      <c r="A14" s="9" t="inlineStr">
        <is>
          <t>1102</t>
        </is>
      </c>
      <c r="B14" s="26" t="n">
        <v>0</v>
      </c>
    </row>
    <row r="15" ht="28" customHeight="1">
      <c r="A15" s="12" t="inlineStr">
        <is>
          <t>1103</t>
        </is>
      </c>
      <c r="B15" s="25" t="n">
        <v>3</v>
      </c>
    </row>
    <row r="16" ht="28" customHeight="1">
      <c r="A16" s="9" t="inlineStr">
        <is>
          <t>1104</t>
        </is>
      </c>
      <c r="B16" s="26" t="n">
        <v>12</v>
      </c>
    </row>
    <row r="17" ht="28" customHeight="1">
      <c r="A17" s="12" t="inlineStr">
        <is>
          <t>1105</t>
        </is>
      </c>
      <c r="B17" s="25" t="n">
        <v>9</v>
      </c>
    </row>
    <row r="18" ht="28" customHeight="1">
      <c r="A18" s="9" t="inlineStr">
        <is>
          <t>1106</t>
        </is>
      </c>
      <c r="B18" s="26" t="n">
        <v>12</v>
      </c>
    </row>
    <row r="19" ht="28" customHeight="1">
      <c r="A19" s="12" t="inlineStr">
        <is>
          <t>1107</t>
        </is>
      </c>
      <c r="B19" s="25" t="n">
        <v>4</v>
      </c>
    </row>
    <row r="20" ht="28" customHeight="1">
      <c r="A20" s="9" t="inlineStr">
        <is>
          <t>1108</t>
        </is>
      </c>
      <c r="B20" s="26" t="n">
        <v>51</v>
      </c>
    </row>
    <row r="21" ht="28" customHeight="1">
      <c r="A21" s="12" t="inlineStr">
        <is>
          <t>1109</t>
        </is>
      </c>
      <c r="B21" s="25" t="n">
        <v>16</v>
      </c>
    </row>
    <row r="22" ht="28" customHeight="1">
      <c r="A22" s="9" t="inlineStr">
        <is>
          <t>1110</t>
        </is>
      </c>
      <c r="B22" s="26" t="n">
        <v>62</v>
      </c>
    </row>
    <row r="23" ht="28" customHeight="1">
      <c r="A23" s="12" t="inlineStr">
        <is>
          <t>1111</t>
        </is>
      </c>
      <c r="B23" s="25" t="n">
        <v>22</v>
      </c>
    </row>
    <row r="24" ht="28" customHeight="1">
      <c r="A24" s="9" t="inlineStr">
        <is>
          <t>1112</t>
        </is>
      </c>
      <c r="B24" s="26" t="n">
        <v>1</v>
      </c>
    </row>
    <row r="26">
      <c r="A26" s="6" t="inlineStr">
        <is>
          <t>Appended-table coverage</t>
        </is>
      </c>
    </row>
    <row r="27" ht="28" customHeight="1">
      <c r="A27" s="3" t="inlineStr">
        <is>
          <t>Appended table</t>
        </is>
      </c>
      <c r="B27" s="3" t="inlineStr">
        <is>
          <t>Records</t>
        </is>
      </c>
      <c r="C27" s="3" t="inlineStr">
        <is>
          <t>Verify source records</t>
        </is>
      </c>
    </row>
    <row r="28" ht="28" customHeight="1">
      <c r="A28" s="12" t="inlineStr">
        <is>
          <t>Table 1105.1.1</t>
        </is>
      </c>
      <c r="B28" s="25" t="n">
        <v>2</v>
      </c>
      <c r="C28" s="25" t="n">
        <v>2</v>
      </c>
    </row>
    <row r="29" ht="28" customHeight="1">
      <c r="A29" s="9" t="inlineStr">
        <is>
          <t>Table 1106.2</t>
        </is>
      </c>
      <c r="B29" s="26" t="n">
        <v>11</v>
      </c>
      <c r="C29" s="26" t="n">
        <v>11</v>
      </c>
    </row>
    <row r="30" ht="28" customHeight="1">
      <c r="A30" s="12" t="inlineStr">
        <is>
          <t>Table 1108.6.1.1</t>
        </is>
      </c>
      <c r="B30" s="25" t="n">
        <v>33</v>
      </c>
      <c r="C30" s="25" t="n">
        <v>33</v>
      </c>
    </row>
    <row r="31" ht="28" customHeight="1">
      <c r="A31" s="9" t="inlineStr">
        <is>
          <t>Table 1109.2.2.1</t>
        </is>
      </c>
      <c r="B31" s="26" t="n">
        <v>7</v>
      </c>
      <c r="C31" s="26" t="n">
        <v>7</v>
      </c>
    </row>
    <row r="32" ht="28" customHeight="1">
      <c r="A32" s="12" t="inlineStr">
        <is>
          <t>Table 1109.2.7.1</t>
        </is>
      </c>
      <c r="B32" s="25" t="n">
        <v>12</v>
      </c>
      <c r="C32" s="25" t="n">
        <v>12</v>
      </c>
    </row>
    <row r="33" ht="28" customHeight="1">
      <c r="A33" s="9" t="inlineStr">
        <is>
          <t>Table 1109.3</t>
        </is>
      </c>
      <c r="B33" s="26" t="n">
        <v>2</v>
      </c>
      <c r="C33" s="26" t="n">
        <v>2</v>
      </c>
    </row>
    <row r="34" ht="28" customHeight="1">
      <c r="A34" s="12" t="inlineStr">
        <is>
          <t>Table 1110.13.1</t>
        </is>
      </c>
      <c r="B34" s="25" t="n">
        <v>4</v>
      </c>
      <c r="C34" s="25" t="n">
        <v>4</v>
      </c>
    </row>
    <row r="35" ht="28" customHeight="1">
      <c r="A35" s="9" t="inlineStr">
        <is>
          <t>TABLE 111.4.9.1 (OCR title)</t>
        </is>
      </c>
      <c r="B35" s="26" t="n">
        <v>13</v>
      </c>
      <c r="C35" s="26" t="n">
        <v>13</v>
      </c>
    </row>
    <row r="37" ht="48" customHeight="1">
      <c r="A37" s="17" t="inlineStr">
        <is>
          <t>Coverage cross-check against SBC 201 Chapter 11 Accessibility (2024)_CS.md was topics-only: scoping vs ICC A117.1; 1103.2 exceptions; routes and stories; entrances and power doors; parking/vans; EV charging; dwelling-unit mix; assembly seating and toilets. No CS.md value was copied into a matrix cell.</t>
        </is>
      </c>
    </row>
  </sheetData>
  <mergeCells count="5">
    <mergeCell ref="A2:E2"/>
    <mergeCell ref="A37:C37"/>
    <mergeCell ref="A11:B11"/>
    <mergeCell ref="A1:E1"/>
    <mergeCell ref="A26:C26"/>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drawing xmlns:r="http://schemas.openxmlformats.org/officeDocument/2006/relationships" r:id="rId1"/>
  <tableParts count="3">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7.xml><?xml version="1.0" encoding="utf-8"?>
<worksheet xmlns="http://schemas.openxmlformats.org/spreadsheetml/2006/main">
  <sheetPr>
    <outlinePr summaryBelow="1" summaryRight="1"/>
    <pageSetUpPr fitToPage="1"/>
  </sheetPr>
  <dimension ref="A1:C11"/>
  <sheetViews>
    <sheetView showGridLines="0" workbookViewId="0">
      <pane ySplit="3" topLeftCell="A4" activePane="bottomLeft" state="frozen"/>
      <selection pane="bottomLeft" activeCell="A1" sqref="A1"/>
    </sheetView>
  </sheetViews>
  <sheetFormatPr baseColWidth="8" defaultRowHeight="15"/>
  <cols>
    <col width="36" customWidth="1" min="1" max="1"/>
    <col width="52" customWidth="1" min="2" max="2"/>
    <col width="72" customWidth="1" min="3" max="3"/>
  </cols>
  <sheetData>
    <row r="1" ht="24" customHeight="1">
      <c r="A1" s="10" t="inlineStr">
        <is>
          <t>Unresolved-source register</t>
        </is>
      </c>
    </row>
    <row r="2" ht="36" customHeight="1">
      <c r="A2" s="17" t="inlineStr">
        <is>
          <t>Hold points for the 84 Verify source inventory records. Counts are record counts, not distinct numeric values. No value in this register is a design-release figure.</t>
        </is>
      </c>
    </row>
    <row r="3" ht="28" customHeight="1">
      <c r="A3" s="3" t="inlineStr">
        <is>
          <t>Affected table / clause</t>
        </is>
      </c>
      <c r="B3" s="3" t="inlineStr">
        <is>
          <t>Why unverified</t>
        </is>
      </c>
      <c r="C3" s="3" t="inlineStr">
        <is>
          <t>Control note</t>
        </is>
      </c>
    </row>
    <row r="4" ht="40" customHeight="1">
      <c r="A4" s="12" t="inlineStr">
        <is>
          <t>Table 1105.1.1</t>
        </is>
      </c>
      <c r="B4" s="12" t="inlineStr">
        <is>
          <t>2 flattened occupancy/load cells</t>
        </is>
      </c>
      <c r="C4" s="12" t="inlineStr">
        <is>
          <t>Verify published table; do not apply reconstructed A/B/M/R-1 occupant loads to Group R-2</t>
        </is>
      </c>
    </row>
    <row r="5" ht="40" customHeight="1">
      <c r="A5" s="9" t="inlineStr">
        <is>
          <t>Table 1106.2</t>
        </is>
      </c>
      <c r="B5" s="9" t="inlineStr">
        <is>
          <t>11 flattened stall-count rows</t>
        </is>
      </c>
      <c r="C5" s="9" t="inlineStr">
        <is>
          <t>R-2 residential parking uses 1106.3 first; verify published table before any 1106.2 use</t>
        </is>
      </c>
    </row>
    <row r="6" ht="40" customHeight="1">
      <c r="A6" s="12" t="inlineStr">
        <is>
          <t>Table 1108.6.1.1</t>
        </is>
      </c>
      <c r="B6" s="12" t="inlineStr">
        <is>
          <t>33 flattened Accessible-unit cells (without / with roll-in / total)</t>
        </is>
      </c>
      <c r="C6" s="12" t="inlineStr">
        <is>
          <t>Applies to R-1 and congregate R-2, not conventional apartment houses; verify published table if congregate bedrooms exist</t>
        </is>
      </c>
    </row>
    <row r="7" ht="28" customHeight="1">
      <c r="A7" s="9" t="inlineStr">
        <is>
          <t>Table 1109.2.2.1</t>
        </is>
      </c>
      <c r="B7" s="9" t="inlineStr">
        <is>
          <t>7 flattened wheelchair-space rows</t>
        </is>
      </c>
      <c r="C7" s="9" t="inlineStr">
        <is>
          <t>Verify published table before amenity/assembly seating</t>
        </is>
      </c>
    </row>
    <row r="8" ht="28" customHeight="1">
      <c r="A8" s="12" t="inlineStr">
        <is>
          <t>Table 1109.2.7.1</t>
        </is>
      </c>
      <c r="B8" s="12" t="inlineStr">
        <is>
          <t>12 flattened receiver/HAC cells; asterisks unresolved</t>
        </is>
      </c>
      <c r="C8" s="12" t="inlineStr">
        <is>
          <t>Verify published table before ALS receiver counts</t>
        </is>
      </c>
    </row>
    <row r="9" ht="40" customHeight="1">
      <c r="A9" s="9" t="inlineStr">
        <is>
          <t>Table 1109.3</t>
        </is>
      </c>
      <c r="B9" s="9" t="inlineStr">
        <is>
          <t>2 flattened self-storage rows</t>
        </is>
      </c>
      <c r="C9" s="9" t="inlineStr">
        <is>
          <t>Not typical for this R-2 tower; verify published table only if self-storage is added</t>
        </is>
      </c>
    </row>
    <row r="10" ht="40" customHeight="1">
      <c r="A10" s="12" t="inlineStr">
        <is>
          <t>Table 1110.13.1</t>
        </is>
      </c>
      <c r="B10" s="12" t="inlineStr">
        <is>
          <t>4 flattened check-out-aisle rows</t>
        </is>
      </c>
      <c r="C10" s="12" t="inlineStr">
        <is>
          <t>Not typical unless podium retail check-out aisles exist; verify published table</t>
        </is>
      </c>
    </row>
    <row r="11" ht="40" customHeight="1">
      <c r="A11" s="9" t="inlineStr">
        <is>
          <t>TABLE 111.4.9.1 (OCR title as printed)</t>
        </is>
      </c>
      <c r="B11" s="9" t="inlineStr">
        <is>
          <t>13 flattened boat-slip rows</t>
        </is>
      </c>
      <c r="C11" s="9" t="inlineStr">
        <is>
          <t>Title OCR; not typical for this R-2 tower; verify published Table 1111.4.9.1 if a marina is added</t>
        </is>
      </c>
    </row>
  </sheetData>
  <mergeCells count="2">
    <mergeCell ref="A1:C1"/>
    <mergeCell ref="A2:C2"/>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Cursor Grok 4.6</dc:creator>
  <dc:title xmlns:dc="http://purl.org/dc/elements/1.1/">SBC 201 Chapter 11 Accessibility — Group R-2 High-Rise Dimensional Requirements Matrix (2024)</dc:title>
  <dc:description xmlns:dc="http://purl.org/dc/elements/1.1/">Source-only architectural advisory matrix. Not a stamped compliance document.</dc:description>
  <dc:subject xmlns:dc="http://purl.org/dc/elements/1.1/">SBC 201 Chapter 11 Accessibility — Group R-2 High-Rise Dimensional Requirements Matrix (2024)</dc:subject>
  <dcterms:created xmlns:dcterms="http://purl.org/dc/terms/" xmlns:xsi="http://www.w3.org/2001/XMLSchema-instance" xsi:type="dcterms:W3CDTF">2026-08-28T04:24:29Z</dcterms:created>
  <dcterms:modified xmlns:dcterms="http://purl.org/dc/terms/" xmlns:xsi="http://www.w3.org/2001/XMLSchema-instance" xsi:type="dcterms:W3CDTF">2026-08-28T04:24:29Z</dcterms:modified>
</cp:coreProperties>
</file>